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2.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A6B5E182-F38A-4B57-B43C-CC466A9C7C4F}" xr6:coauthVersionLast="47" xr6:coauthVersionMax="47" xr10:uidLastSave="{00000000-0000-0000-0000-000000000000}"/>
  <bookViews>
    <workbookView xWindow="-110" yWindow="-110" windowWidth="19420" windowHeight="10300" firstSheet="11" activeTab="13" xr2:uid="{71DF26D4-231C-42C8-9697-2F8148780BD0}"/>
  </bookViews>
  <sheets>
    <sheet name="av rating by discount" sheetId="3" r:id="rId1"/>
    <sheet name=" rating vs prod" sheetId="5" r:id="rId2"/>
    <sheet name="RAT &amp; NUMBEROF REVIEW" sheetId="6" r:id="rId3"/>
    <sheet name="discount vs review" sheetId="7" r:id="rId4"/>
    <sheet name="rate vs review" sheetId="8" r:id="rId5"/>
    <sheet name="Highrateprod vs reviews" sheetId="9" r:id="rId6"/>
    <sheet name="Top prod vs disc" sheetId="15" r:id="rId7"/>
    <sheet name="Top prod vs reviews" sheetId="17" r:id="rId8"/>
    <sheet name="Top 5 rated prod" sheetId="18" r:id="rId9"/>
    <sheet name="Bottom5 rated prod" sheetId="19" r:id="rId10"/>
    <sheet name="disco vs rating vs review" sheetId="20" r:id="rId11"/>
    <sheet name="Excel_jumia" sheetId="1" r:id="rId12"/>
    <sheet name="Detail1" sheetId="22" r:id="rId13"/>
    <sheet name="Dashboard" sheetId="12" r:id="rId14"/>
  </sheets>
  <definedNames>
    <definedName name="_xlnm._FilterDatabase" localSheetId="11" hidden="1">Excel_jumia!$A$1:$H$110</definedName>
    <definedName name="Slicer_Discount">#N/A</definedName>
    <definedName name="Slicer_Product">#N/A</definedName>
    <definedName name="Slicer_Ratingd">#N/A</definedName>
    <definedName name="Slicer_Ratingd1">#N/A</definedName>
    <definedName name="Slicer_Review">#N/A</definedName>
    <definedName name="Slicer_Review1">#N/A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1" l="1"/>
  <c r="L3" i="1"/>
  <c r="G111" i="1"/>
  <c r="H111" i="1"/>
  <c r="E111" i="1"/>
  <c r="C111" i="1"/>
  <c r="B11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2" i="1"/>
</calcChain>
</file>

<file path=xl/sharedStrings.xml><?xml version="1.0" encoding="utf-8"?>
<sst xmlns="http://schemas.openxmlformats.org/spreadsheetml/2006/main" count="479" uniqueCount="145">
  <si>
    <t>Product</t>
  </si>
  <si>
    <t>Current price</t>
  </si>
  <si>
    <t>old price</t>
  </si>
  <si>
    <t>Discount</t>
  </si>
  <si>
    <t>Review</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</si>
  <si>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</si>
  <si>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</si>
  <si>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</si>
  <si>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</si>
  <si>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</si>
  <si>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</si>
  <si>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</si>
  <si>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</si>
  <si>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</si>
  <si>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</si>
  <si>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</si>
  <si>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</si>
  <si>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</si>
  <si>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</si>
  <si>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</si>
  <si>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</si>
  <si>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</si>
  <si>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</si>
  <si>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</si>
  <si>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</si>
  <si>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</si>
  <si>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</si>
  <si>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</si>
  <si>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</si>
  <si>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</si>
  <si>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</si>
  <si>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</si>
  <si>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</si>
  <si>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</si>
  <si>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</si>
  <si>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</si>
  <si>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</si>
  <si>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</si>
  <si>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</si>
  <si>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</si>
  <si>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</si>
  <si>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</si>
  <si>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</si>
  <si>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</si>
  <si>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</si>
  <si>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</si>
  <si>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</si>
  <si>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</si>
  <si>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</si>
  <si>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</si>
  <si>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</si>
  <si>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</si>
  <si>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</si>
  <si>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</si>
  <si>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</si>
  <si>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</si>
  <si>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</si>
  <si>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</si>
  <si>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</si>
  <si>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</si>
  <si>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</si>
  <si>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</si>
  <si>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</si>
  <si>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</si>
  <si>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</si>
  <si>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</si>
  <si>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</si>
  <si>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</si>
  <si>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</si>
  <si>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</si>
  <si>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</si>
  <si>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</si>
  <si>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</si>
  <si>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</si>
  <si>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</si>
  <si>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</si>
  <si>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</si>
  <si>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</si>
  <si>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</si>
  <si>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</si>
  <si>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</si>
  <si>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</si>
  <si>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</si>
  <si>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</si>
  <si>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</si>
  <si>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</si>
  <si>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</si>
  <si>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</si>
  <si>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</si>
  <si>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</si>
  <si>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</si>
  <si>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</si>
  <si>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</si>
  <si>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</si>
  <si>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</si>
  <si>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</si>
  <si>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</si>
  <si>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</si>
  <si>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</si>
  <si>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</si>
  <si>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</si>
  <si>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</si>
  <si>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</si>
  <si>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</si>
  <si>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</si>
  <si>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</si>
  <si>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</si>
  <si>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</si>
  <si>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</si>
  <si>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</si>
  <si>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</si>
  <si>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</si>
  <si>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</si>
  <si>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</si>
  <si>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</si>
  <si>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Discount amount(Ksh)</t>
  </si>
  <si>
    <t>Rating Category</t>
  </si>
  <si>
    <t>Discount category</t>
  </si>
  <si>
    <t>TOTAL</t>
  </si>
  <si>
    <t>Row Labels</t>
  </si>
  <si>
    <t>high</t>
  </si>
  <si>
    <t>low</t>
  </si>
  <si>
    <t>medium</t>
  </si>
  <si>
    <t>Grand Total</t>
  </si>
  <si>
    <t>Average of Ratingd</t>
  </si>
  <si>
    <t>Average of Discount</t>
  </si>
  <si>
    <t>average</t>
  </si>
  <si>
    <t>excellent</t>
  </si>
  <si>
    <t>poor</t>
  </si>
  <si>
    <t>0-9</t>
  </si>
  <si>
    <t>10-19</t>
  </si>
  <si>
    <t>20-29</t>
  </si>
  <si>
    <t>30-39</t>
  </si>
  <si>
    <t>40-49</t>
  </si>
  <si>
    <t>50-59</t>
  </si>
  <si>
    <t>60-69</t>
  </si>
  <si>
    <t>Count of Ratingd</t>
  </si>
  <si>
    <t>Count of Product</t>
  </si>
  <si>
    <t>Max of Discount</t>
  </si>
  <si>
    <t>Max of Review</t>
  </si>
  <si>
    <t>Sum of Review</t>
  </si>
  <si>
    <t>Sum of Ratingd</t>
  </si>
  <si>
    <t>Most expensive product</t>
  </si>
  <si>
    <t>Least expensive product</t>
  </si>
  <si>
    <t>Details for Average of Ratingd - Discount category: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</si>
</sst>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 fontId="16" fillId="0" borderId="0" xfId="0" applyNumberFormat="1" applyFont="1"/>
    <xf numFmtId="1" fontId="0" fillId="0" borderId="0" xfId="0" applyNumberFormat="1"/>
    <xf numFmtId="164" fontId="16" fillId="0" borderId="0" xfId="0" applyNumberFormat="1" applyFont="1"/>
    <xf numFmtId="164" fontId="0" fillId="0" borderId="0" xfId="0" applyNumberFormat="1"/>
    <xf numFmtId="9" fontId="16"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0" fontId="0" fillId="33" borderId="0" xfId="0" applyFill="1"/>
    <xf numFmtId="2" fontId="0" fillId="0" borderId="0" xfId="0" applyNumberFormat="1"/>
    <xf numFmtId="0" fontId="0" fillId="0" borderId="0" xfId="0" applyNumberFormat="1"/>
    <xf numFmtId="2"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2" formatCode="0.00"/>
    </dxf>
    <dxf>
      <numFmt numFmtId="2" formatCode="0.00"/>
    </dxf>
    <dxf>
      <numFmt numFmtId="2" formatCode="0.00"/>
    </dxf>
    <dxf>
      <numFmt numFmtId="2" formatCode="0.00"/>
    </dxf>
    <dxf>
      <numFmt numFmtId="164" formatCode="0.0"/>
    </dxf>
    <dxf>
      <numFmt numFmtId="1" formatCode="0"/>
    </dxf>
    <dxf>
      <numFmt numFmtId="13" formatCode="0%"/>
    </dxf>
    <dxf>
      <numFmt numFmtId="13"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 assignment.xlsx]RAT &amp; NUMBEROF REVIEW!PivotTable4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accent2"/>
                </a:solidFill>
              </a:rPr>
              <a:t>RATING VS REVIEWS</a:t>
            </a:r>
          </a:p>
        </c:rich>
      </c:tx>
      <c:layout>
        <c:manualLayout>
          <c:xMode val="edge"/>
          <c:yMode val="edge"/>
          <c:x val="0.33587489063867015"/>
          <c:y val="8.0302939231832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14260717410326E-2"/>
          <c:y val="0.25865522018081066"/>
          <c:w val="0.79912270341207348"/>
          <c:h val="0.53774387576552929"/>
        </c:manualLayout>
      </c:layout>
      <c:barChart>
        <c:barDir val="col"/>
        <c:grouping val="clustered"/>
        <c:varyColors val="0"/>
        <c:ser>
          <c:idx val="0"/>
          <c:order val="0"/>
          <c:tx>
            <c:strRef>
              <c:f>'RAT &amp; NUMBEROF REVIEW'!$B$3</c:f>
              <c:strCache>
                <c:ptCount val="1"/>
                <c:pt idx="0">
                  <c:v>Total</c:v>
                </c:pt>
              </c:strCache>
            </c:strRef>
          </c:tx>
          <c:spPr>
            <a:solidFill>
              <a:schemeClr val="accent5"/>
            </a:solidFill>
            <a:ln>
              <a:noFill/>
            </a:ln>
            <a:effectLst/>
          </c:spPr>
          <c:invertIfNegative val="0"/>
          <c:cat>
            <c:strRef>
              <c:f>'RAT &amp; NUMBEROF REVIEW'!$A$4:$A$11</c:f>
              <c:strCache>
                <c:ptCount val="7"/>
                <c:pt idx="0">
                  <c:v>0-9</c:v>
                </c:pt>
                <c:pt idx="1">
                  <c:v>10-19</c:v>
                </c:pt>
                <c:pt idx="2">
                  <c:v>20-29</c:v>
                </c:pt>
                <c:pt idx="3">
                  <c:v>30-39</c:v>
                </c:pt>
                <c:pt idx="4">
                  <c:v>40-49</c:v>
                </c:pt>
                <c:pt idx="5">
                  <c:v>50-59</c:v>
                </c:pt>
                <c:pt idx="6">
                  <c:v>60-69</c:v>
                </c:pt>
              </c:strCache>
            </c:strRef>
          </c:cat>
          <c:val>
            <c:numRef>
              <c:f>'RAT &amp; NUMBEROF REVIEW'!$B$4:$B$11</c:f>
              <c:numCache>
                <c:formatCode>General</c:formatCode>
                <c:ptCount val="7"/>
                <c:pt idx="0">
                  <c:v>1.5226190476190475</c:v>
                </c:pt>
                <c:pt idx="1">
                  <c:v>3.5928571428571439</c:v>
                </c:pt>
                <c:pt idx="2">
                  <c:v>4.4666666666666659</c:v>
                </c:pt>
                <c:pt idx="3">
                  <c:v>4.5</c:v>
                </c:pt>
                <c:pt idx="4">
                  <c:v>4.5999999999999996</c:v>
                </c:pt>
                <c:pt idx="5">
                  <c:v>4.5999999999999996</c:v>
                </c:pt>
                <c:pt idx="6">
                  <c:v>2.8</c:v>
                </c:pt>
              </c:numCache>
            </c:numRef>
          </c:val>
          <c:extLst>
            <c:ext xmlns:c16="http://schemas.microsoft.com/office/drawing/2014/chart" uri="{C3380CC4-5D6E-409C-BE32-E72D297353CC}">
              <c16:uniqueId val="{00000000-A1AD-4E16-A20F-5BC122A4E215}"/>
            </c:ext>
          </c:extLst>
        </c:ser>
        <c:dLbls>
          <c:showLegendKey val="0"/>
          <c:showVal val="0"/>
          <c:showCatName val="0"/>
          <c:showSerName val="0"/>
          <c:showPercent val="0"/>
          <c:showBubbleSize val="0"/>
        </c:dLbls>
        <c:gapWidth val="219"/>
        <c:overlap val="-27"/>
        <c:axId val="845937871"/>
        <c:axId val="845934511"/>
      </c:barChart>
      <c:catAx>
        <c:axId val="8459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34511"/>
        <c:crosses val="autoZero"/>
        <c:auto val="1"/>
        <c:lblAlgn val="ctr"/>
        <c:lblOffset val="100"/>
        <c:noMultiLvlLbl val="0"/>
      </c:catAx>
      <c:valAx>
        <c:axId val="8459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3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 assignment.xlsx]discount vs review!PivotTable5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DISCOUNT</a:t>
            </a:r>
            <a:r>
              <a:rPr lang="en-US" baseline="0">
                <a:solidFill>
                  <a:schemeClr val="accent2"/>
                </a:solidFill>
              </a:rPr>
              <a:t> PERCENTAGE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review'!$B$3</c:f>
              <c:strCache>
                <c:ptCount val="1"/>
                <c:pt idx="0">
                  <c:v>Total</c:v>
                </c:pt>
              </c:strCache>
            </c:strRef>
          </c:tx>
          <c:spPr>
            <a:solidFill>
              <a:schemeClr val="accent5"/>
            </a:solidFill>
            <a:ln>
              <a:noFill/>
            </a:ln>
            <a:effectLst/>
          </c:spPr>
          <c:invertIfNegative val="0"/>
          <c:cat>
            <c:strRef>
              <c:f>'discount vs review'!$A$4:$A$11</c:f>
              <c:strCache>
                <c:ptCount val="7"/>
                <c:pt idx="0">
                  <c:v>0-9</c:v>
                </c:pt>
                <c:pt idx="1">
                  <c:v>10-19</c:v>
                </c:pt>
                <c:pt idx="2">
                  <c:v>20-29</c:v>
                </c:pt>
                <c:pt idx="3">
                  <c:v>30-39</c:v>
                </c:pt>
                <c:pt idx="4">
                  <c:v>40-49</c:v>
                </c:pt>
                <c:pt idx="5">
                  <c:v>50-59</c:v>
                </c:pt>
                <c:pt idx="6">
                  <c:v>60-69</c:v>
                </c:pt>
              </c:strCache>
            </c:strRef>
          </c:cat>
          <c:val>
            <c:numRef>
              <c:f>'discount vs review'!$B$4:$B$11</c:f>
              <c:numCache>
                <c:formatCode>0%</c:formatCode>
                <c:ptCount val="7"/>
                <c:pt idx="0">
                  <c:v>0.36635294117647044</c:v>
                </c:pt>
                <c:pt idx="1">
                  <c:v>0.36499999999999994</c:v>
                </c:pt>
                <c:pt idx="2">
                  <c:v>0.27333333333333337</c:v>
                </c:pt>
                <c:pt idx="3">
                  <c:v>0.34</c:v>
                </c:pt>
                <c:pt idx="4">
                  <c:v>0.42</c:v>
                </c:pt>
                <c:pt idx="5">
                  <c:v>0.24</c:v>
                </c:pt>
                <c:pt idx="6">
                  <c:v>0.49</c:v>
                </c:pt>
              </c:numCache>
            </c:numRef>
          </c:val>
          <c:extLst>
            <c:ext xmlns:c16="http://schemas.microsoft.com/office/drawing/2014/chart" uri="{C3380CC4-5D6E-409C-BE32-E72D297353CC}">
              <c16:uniqueId val="{00000000-B2F8-4DCE-914E-6BC6AD4F0412}"/>
            </c:ext>
          </c:extLst>
        </c:ser>
        <c:dLbls>
          <c:showLegendKey val="0"/>
          <c:showVal val="0"/>
          <c:showCatName val="0"/>
          <c:showSerName val="0"/>
          <c:showPercent val="0"/>
          <c:showBubbleSize val="0"/>
        </c:dLbls>
        <c:gapWidth val="219"/>
        <c:overlap val="-27"/>
        <c:axId val="425986911"/>
        <c:axId val="425971551"/>
      </c:barChart>
      <c:catAx>
        <c:axId val="42598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71551"/>
        <c:crosses val="autoZero"/>
        <c:auto val="1"/>
        <c:lblAlgn val="ctr"/>
        <c:lblOffset val="100"/>
        <c:noMultiLvlLbl val="0"/>
      </c:catAx>
      <c:valAx>
        <c:axId val="425971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percentage and no. of reviews relationship</a:t>
            </a:r>
            <a:endParaRPr lang="en-US" b="1">
              <a:solidFill>
                <a:schemeClr val="accent2"/>
              </a:solidFill>
            </a:endParaRPr>
          </a:p>
        </c:rich>
      </c:tx>
      <c:layout>
        <c:manualLayout>
          <c:xMode val="edge"/>
          <c:yMode val="edge"/>
          <c:x val="0.170840113735783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0.27398148148148149"/>
          <c:w val="0.86859273840769902"/>
          <c:h val="0.64176727909011377"/>
        </c:manualLayout>
      </c:layout>
      <c:scatterChart>
        <c:scatterStyle val="lineMarker"/>
        <c:varyColors val="0"/>
        <c:ser>
          <c:idx val="0"/>
          <c:order val="0"/>
          <c:tx>
            <c:strRef>
              <c:f>Excel_jumia!$G$1</c:f>
              <c:strCache>
                <c:ptCount val="1"/>
                <c:pt idx="0">
                  <c:v>Review</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Excel_jumia!$E$2:$E$116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Excel_jumia!$G$2:$G$116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pt idx="109">
                  <c:v>723</c:v>
                </c:pt>
              </c:numCache>
            </c:numRef>
          </c:yVal>
          <c:smooth val="0"/>
          <c:extLst>
            <c:ext xmlns:c16="http://schemas.microsoft.com/office/drawing/2014/chart" uri="{C3380CC4-5D6E-409C-BE32-E72D297353CC}">
              <c16:uniqueId val="{00000001-40B6-48A1-B62F-E14F8AD0F7F8}"/>
            </c:ext>
          </c:extLst>
        </c:ser>
        <c:dLbls>
          <c:showLegendKey val="0"/>
          <c:showVal val="0"/>
          <c:showCatName val="0"/>
          <c:showSerName val="0"/>
          <c:showPercent val="0"/>
          <c:showBubbleSize val="0"/>
        </c:dLbls>
        <c:axId val="321425184"/>
        <c:axId val="321426144"/>
      </c:scatterChart>
      <c:valAx>
        <c:axId val="321425184"/>
        <c:scaling>
          <c:orientation val="minMax"/>
        </c:scaling>
        <c:delete val="0"/>
        <c:axPos val="b"/>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26144"/>
        <c:crosses val="autoZero"/>
        <c:crossBetween val="midCat"/>
      </c:valAx>
      <c:valAx>
        <c:axId val="32142614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25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prod vs disc!PivotTable2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highest discounts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disc'!$B$3</c:f>
              <c:strCache>
                <c:ptCount val="1"/>
                <c:pt idx="0">
                  <c:v>Total</c:v>
                </c:pt>
              </c:strCache>
            </c:strRef>
          </c:tx>
          <c:spPr>
            <a:solidFill>
              <a:schemeClr val="accent1"/>
            </a:solidFill>
            <a:ln>
              <a:noFill/>
            </a:ln>
            <a:effectLst/>
          </c:spPr>
          <c:invertIfNegative val="0"/>
          <c:cat>
            <c:strRef>
              <c:f>'Top prod vs disc'!$A$4:$A$14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prod vs disc'!$B$4:$B$14</c:f>
              <c:numCache>
                <c:formatCode>0%</c:formatCode>
                <c:ptCount val="10"/>
                <c:pt idx="0">
                  <c:v>0.53</c:v>
                </c:pt>
                <c:pt idx="1">
                  <c:v>0.55000000000000004</c:v>
                </c:pt>
                <c:pt idx="2">
                  <c:v>0.64</c:v>
                </c:pt>
                <c:pt idx="3">
                  <c:v>0.53</c:v>
                </c:pt>
                <c:pt idx="4">
                  <c:v>0.61</c:v>
                </c:pt>
                <c:pt idx="5">
                  <c:v>0.52</c:v>
                </c:pt>
                <c:pt idx="6">
                  <c:v>0.52</c:v>
                </c:pt>
                <c:pt idx="7">
                  <c:v>0.54</c:v>
                </c:pt>
                <c:pt idx="8">
                  <c:v>0.55000000000000004</c:v>
                </c:pt>
                <c:pt idx="9">
                  <c:v>0.54</c:v>
                </c:pt>
              </c:numCache>
            </c:numRef>
          </c:val>
          <c:extLst>
            <c:ext xmlns:c16="http://schemas.microsoft.com/office/drawing/2014/chart" uri="{C3380CC4-5D6E-409C-BE32-E72D297353CC}">
              <c16:uniqueId val="{00000000-4F24-46DB-846B-0FFDB6B2B8E0}"/>
            </c:ext>
          </c:extLst>
        </c:ser>
        <c:dLbls>
          <c:showLegendKey val="0"/>
          <c:showVal val="0"/>
          <c:showCatName val="0"/>
          <c:showSerName val="0"/>
          <c:showPercent val="0"/>
          <c:showBubbleSize val="0"/>
        </c:dLbls>
        <c:gapWidth val="182"/>
        <c:axId val="1580464592"/>
        <c:axId val="1120391088"/>
      </c:barChart>
      <c:catAx>
        <c:axId val="158046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1088"/>
        <c:crosses val="autoZero"/>
        <c:auto val="1"/>
        <c:lblAlgn val="ctr"/>
        <c:lblOffset val="100"/>
        <c:noMultiLvlLbl val="0"/>
      </c:catAx>
      <c:valAx>
        <c:axId val="112039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46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prod vs reviews!PivotTable4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most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reviews'!$B$3</c:f>
              <c:strCache>
                <c:ptCount val="1"/>
                <c:pt idx="0">
                  <c:v>Total</c:v>
                </c:pt>
              </c:strCache>
            </c:strRef>
          </c:tx>
          <c:spPr>
            <a:solidFill>
              <a:schemeClr val="accent1"/>
            </a:solidFill>
            <a:ln>
              <a:noFill/>
            </a:ln>
            <a:effectLst/>
          </c:spPr>
          <c:invertIfNegative val="0"/>
          <c:cat>
            <c:strRef>
              <c:f>'Top prod vs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prod vs reviews'!$B$4:$B$14</c:f>
              <c:numCache>
                <c:formatCode>0</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3573-48C4-A5D8-A08BE890AEBF}"/>
            </c:ext>
          </c:extLst>
        </c:ser>
        <c:dLbls>
          <c:showLegendKey val="0"/>
          <c:showVal val="0"/>
          <c:showCatName val="0"/>
          <c:showSerName val="0"/>
          <c:showPercent val="0"/>
          <c:showBubbleSize val="0"/>
        </c:dLbls>
        <c:gapWidth val="182"/>
        <c:axId val="1566778448"/>
        <c:axId val="1566778928"/>
      </c:barChart>
      <c:catAx>
        <c:axId val="15667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78928"/>
        <c:crosses val="autoZero"/>
        <c:auto val="1"/>
        <c:lblAlgn val="ctr"/>
        <c:lblOffset val="100"/>
        <c:noMultiLvlLbl val="0"/>
      </c:catAx>
      <c:valAx>
        <c:axId val="1566778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7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5 rated prod!PivotTable5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5 rated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rated prod'!$B$3</c:f>
              <c:strCache>
                <c:ptCount val="1"/>
                <c:pt idx="0">
                  <c:v>Total</c:v>
                </c:pt>
              </c:strCache>
            </c:strRef>
          </c:tx>
          <c:spPr>
            <a:solidFill>
              <a:schemeClr val="accent1"/>
            </a:solidFill>
            <a:ln>
              <a:noFill/>
            </a:ln>
            <a:effectLst/>
          </c:spPr>
          <c:invertIfNegative val="0"/>
          <c:cat>
            <c:strRef>
              <c:f>'Top 5 rated prod'!$A$4:$A$11</c:f>
              <c:strCache>
                <c:ptCount val="7"/>
                <c:pt idx="0">
                  <c:v>Peacock  Throw Pillow Cushion Case For Home Car</c:v>
                </c:pt>
                <c:pt idx="1">
                  <c:v>LASA Aluminum Folding Truck Hand Cart - 68kg Max</c:v>
                </c:pt>
                <c:pt idx="2">
                  <c:v>Konka Healty Electric Kettle, 24-hour Heat Preservation,1.5L,800W, White</c:v>
                </c:pt>
                <c:pt idx="3">
                  <c:v>DIY File Folder, Office Drawer File Holder, Pen Holder, Desktop Storage Rack</c:v>
                </c:pt>
                <c:pt idx="4">
                  <c:v>Classic Black Cat Cotton Hemp Pillow Case For Home Car</c:v>
                </c:pt>
                <c:pt idx="5">
                  <c:v>Bedroom Simple Floor Hanging Clothes Rack Single Pole Hat Rack - White</c:v>
                </c:pt>
                <c:pt idx="6">
                  <c:v>Anti-Skid Absorbent Insulation Coaster  For Home Office</c:v>
                </c:pt>
              </c:strCache>
            </c:strRef>
          </c:cat>
          <c:val>
            <c:numRef>
              <c:f>'Top 5 rated prod'!$B$4:$B$11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673F-41F3-9B75-844FD4C167D3}"/>
            </c:ext>
          </c:extLst>
        </c:ser>
        <c:dLbls>
          <c:dLblPos val="outEnd"/>
          <c:showLegendKey val="0"/>
          <c:showVal val="0"/>
          <c:showCatName val="0"/>
          <c:showSerName val="0"/>
          <c:showPercent val="0"/>
          <c:showBubbleSize val="0"/>
        </c:dLbls>
        <c:gapWidth val="182"/>
        <c:axId val="1608805008"/>
        <c:axId val="1608805488"/>
      </c:barChart>
      <c:catAx>
        <c:axId val="16088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805488"/>
        <c:crosses val="autoZero"/>
        <c:auto val="1"/>
        <c:lblAlgn val="ctr"/>
        <c:lblOffset val="100"/>
        <c:noMultiLvlLbl val="0"/>
      </c:catAx>
      <c:valAx>
        <c:axId val="160880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80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Discount</a:t>
            </a:r>
            <a:r>
              <a:rPr lang="en-US" b="1" baseline="0">
                <a:solidFill>
                  <a:schemeClr val="accent2"/>
                </a:solidFill>
              </a:rPr>
              <a:t> percentage and no. of reviews relationship</a:t>
            </a:r>
            <a:endParaRPr lang="en-US" b="1">
              <a:solidFill>
                <a:schemeClr val="accent2"/>
              </a:solidFill>
            </a:endParaRPr>
          </a:p>
        </c:rich>
      </c:tx>
      <c:layout>
        <c:manualLayout>
          <c:xMode val="edge"/>
          <c:yMode val="edge"/>
          <c:x val="0.11793782940982489"/>
          <c:y val="3.9092984664045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0.27398148148148149"/>
          <c:w val="0.86859273840769902"/>
          <c:h val="0.64176727909011377"/>
        </c:manualLayout>
      </c:layout>
      <c:scatterChart>
        <c:scatterStyle val="lineMarker"/>
        <c:varyColors val="0"/>
        <c:ser>
          <c:idx val="0"/>
          <c:order val="0"/>
          <c:tx>
            <c:strRef>
              <c:f>Excel_jumia!$G$1</c:f>
              <c:strCache>
                <c:ptCount val="1"/>
                <c:pt idx="0">
                  <c:v>Review</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Excel_jumia!$E$2:$E$116</c:f>
              <c:numCache>
                <c:formatCode>0%</c:formatCode>
                <c:ptCount val="115"/>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0.13</c:v>
                </c:pt>
                <c:pt idx="59">
                  <c:v>0.54</c:v>
                </c:pt>
                <c:pt idx="60">
                  <c:v>0.55000000000000004</c:v>
                </c:pt>
                <c:pt idx="61">
                  <c:v>0.49</c:v>
                </c:pt>
                <c:pt idx="62">
                  <c:v>0.52</c:v>
                </c:pt>
                <c:pt idx="63">
                  <c:v>0.22</c:v>
                </c:pt>
                <c:pt idx="64">
                  <c:v>0.45</c:v>
                </c:pt>
                <c:pt idx="65">
                  <c:v>0.5</c:v>
                </c:pt>
                <c:pt idx="66">
                  <c:v>0.39</c:v>
                </c:pt>
                <c:pt idx="67">
                  <c:v>0.45</c:v>
                </c:pt>
                <c:pt idx="68">
                  <c:v>0.28999999999999998</c:v>
                </c:pt>
                <c:pt idx="69">
                  <c:v>0.43</c:v>
                </c:pt>
                <c:pt idx="70">
                  <c:v>0.43</c:v>
                </c:pt>
                <c:pt idx="71">
                  <c:v>0.47</c:v>
                </c:pt>
                <c:pt idx="72">
                  <c:v>0.47</c:v>
                </c:pt>
                <c:pt idx="73">
                  <c:v>0.47</c:v>
                </c:pt>
                <c:pt idx="74">
                  <c:v>0.43</c:v>
                </c:pt>
                <c:pt idx="75">
                  <c:v>0.04</c:v>
                </c:pt>
                <c:pt idx="76">
                  <c:v>0.49</c:v>
                </c:pt>
                <c:pt idx="77">
                  <c:v>0.46</c:v>
                </c:pt>
                <c:pt idx="78">
                  <c:v>0.49</c:v>
                </c:pt>
                <c:pt idx="79">
                  <c:v>0.36</c:v>
                </c:pt>
                <c:pt idx="80">
                  <c:v>0.02</c:v>
                </c:pt>
                <c:pt idx="81">
                  <c:v>0.49</c:v>
                </c:pt>
                <c:pt idx="82">
                  <c:v>0.14000000000000001</c:v>
                </c:pt>
                <c:pt idx="83">
                  <c:v>0.49</c:v>
                </c:pt>
                <c:pt idx="84">
                  <c:v>0.11</c:v>
                </c:pt>
                <c:pt idx="85">
                  <c:v>0.14000000000000001</c:v>
                </c:pt>
                <c:pt idx="86">
                  <c:v>0.43</c:v>
                </c:pt>
                <c:pt idx="87">
                  <c:v>0.5</c:v>
                </c:pt>
                <c:pt idx="88">
                  <c:v>0.48</c:v>
                </c:pt>
                <c:pt idx="89">
                  <c:v>0.48</c:v>
                </c:pt>
                <c:pt idx="90">
                  <c:v>0.47</c:v>
                </c:pt>
                <c:pt idx="91">
                  <c:v>0.5</c:v>
                </c:pt>
                <c:pt idx="92">
                  <c:v>0.08</c:v>
                </c:pt>
                <c:pt idx="93">
                  <c:v>0.02</c:v>
                </c:pt>
                <c:pt idx="94">
                  <c:v>0.49</c:v>
                </c:pt>
                <c:pt idx="95">
                  <c:v>0.04</c:v>
                </c:pt>
                <c:pt idx="96">
                  <c:v>0.49</c:v>
                </c:pt>
                <c:pt idx="97">
                  <c:v>0.42</c:v>
                </c:pt>
                <c:pt idx="98">
                  <c:v>0.21</c:v>
                </c:pt>
                <c:pt idx="99">
                  <c:v>0.41</c:v>
                </c:pt>
                <c:pt idx="100">
                  <c:v>0.01</c:v>
                </c:pt>
                <c:pt idx="101">
                  <c:v>0.24</c:v>
                </c:pt>
                <c:pt idx="102">
                  <c:v>0.34</c:v>
                </c:pt>
                <c:pt idx="103">
                  <c:v>0.34</c:v>
                </c:pt>
                <c:pt idx="104">
                  <c:v>0.02</c:v>
                </c:pt>
                <c:pt idx="105">
                  <c:v>0.02</c:v>
                </c:pt>
                <c:pt idx="106">
                  <c:v>0.64</c:v>
                </c:pt>
                <c:pt idx="107">
                  <c:v>0.5</c:v>
                </c:pt>
                <c:pt idx="108">
                  <c:v>0.47</c:v>
                </c:pt>
                <c:pt idx="109">
                  <c:v>0.36385321100917423</c:v>
                </c:pt>
              </c:numCache>
            </c:numRef>
          </c:xVal>
          <c:yVal>
            <c:numRef>
              <c:f>Excel_jumia!$G$2:$G$116</c:f>
              <c:numCache>
                <c:formatCode>0</c:formatCode>
                <c:ptCount val="115"/>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6</c:v>
                </c:pt>
                <c:pt idx="59">
                  <c:v>10</c:v>
                </c:pt>
                <c:pt idx="60">
                  <c:v>13</c:v>
                </c:pt>
                <c:pt idx="61">
                  <c:v>69</c:v>
                </c:pt>
                <c:pt idx="62">
                  <c:v>15</c:v>
                </c:pt>
                <c:pt idx="63">
                  <c:v>16</c:v>
                </c:pt>
                <c:pt idx="64">
                  <c:v>6</c:v>
                </c:pt>
                <c:pt idx="65">
                  <c:v>7</c:v>
                </c:pt>
                <c:pt idx="66">
                  <c:v>5</c:v>
                </c:pt>
                <c:pt idx="67">
                  <c:v>17</c:v>
                </c:pt>
                <c:pt idx="68">
                  <c:v>5</c:v>
                </c:pt>
                <c:pt idx="69">
                  <c:v>6</c:v>
                </c:pt>
                <c:pt idx="70">
                  <c:v>5</c:v>
                </c:pt>
                <c:pt idx="71">
                  <c:v>6</c:v>
                </c:pt>
                <c:pt idx="72">
                  <c:v>7</c:v>
                </c:pt>
                <c:pt idx="73">
                  <c:v>0</c:v>
                </c:pt>
                <c:pt idx="74">
                  <c:v>0</c:v>
                </c:pt>
                <c:pt idx="75">
                  <c:v>0</c:v>
                </c:pt>
                <c:pt idx="76">
                  <c:v>0</c:v>
                </c:pt>
                <c:pt idx="77">
                  <c:v>1</c:v>
                </c:pt>
                <c:pt idx="78">
                  <c:v>1</c:v>
                </c:pt>
                <c:pt idx="79">
                  <c:v>0</c:v>
                </c:pt>
                <c:pt idx="80">
                  <c:v>0</c:v>
                </c:pt>
                <c:pt idx="81">
                  <c:v>1</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1</c:v>
                </c:pt>
                <c:pt idx="99">
                  <c:v>0</c:v>
                </c:pt>
                <c:pt idx="100">
                  <c:v>0</c:v>
                </c:pt>
                <c:pt idx="101">
                  <c:v>0</c:v>
                </c:pt>
                <c:pt idx="102">
                  <c:v>0</c:v>
                </c:pt>
                <c:pt idx="103">
                  <c:v>0</c:v>
                </c:pt>
                <c:pt idx="104">
                  <c:v>0</c:v>
                </c:pt>
                <c:pt idx="105">
                  <c:v>0</c:v>
                </c:pt>
                <c:pt idx="106">
                  <c:v>0</c:v>
                </c:pt>
                <c:pt idx="107">
                  <c:v>1</c:v>
                </c:pt>
                <c:pt idx="108">
                  <c:v>0</c:v>
                </c:pt>
                <c:pt idx="109">
                  <c:v>723</c:v>
                </c:pt>
              </c:numCache>
            </c:numRef>
          </c:yVal>
          <c:smooth val="0"/>
          <c:extLst>
            <c:ext xmlns:c16="http://schemas.microsoft.com/office/drawing/2014/chart" uri="{C3380CC4-5D6E-409C-BE32-E72D297353CC}">
              <c16:uniqueId val="{00000001-2C46-44B3-B6F0-416E1CD3BA6E}"/>
            </c:ext>
          </c:extLst>
        </c:ser>
        <c:dLbls>
          <c:showLegendKey val="0"/>
          <c:showVal val="0"/>
          <c:showCatName val="0"/>
          <c:showSerName val="0"/>
          <c:showPercent val="0"/>
          <c:showBubbleSize val="0"/>
        </c:dLbls>
        <c:axId val="321425184"/>
        <c:axId val="321426144"/>
      </c:scatterChart>
      <c:valAx>
        <c:axId val="321425184"/>
        <c:scaling>
          <c:orientation val="minMax"/>
        </c:scaling>
        <c:delete val="0"/>
        <c:axPos val="b"/>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26144"/>
        <c:crosses val="autoZero"/>
        <c:crossBetween val="midCat"/>
      </c:valAx>
      <c:valAx>
        <c:axId val="321426144"/>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425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[Excel_jumia assignment.xlsx]RAT &amp; NUMBEROF REVIEW!PivotTable4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accent2"/>
                </a:solidFill>
              </a:rPr>
              <a:t>RATING VS REVIEWS</a:t>
            </a:r>
          </a:p>
        </c:rich>
      </c:tx>
      <c:layout>
        <c:manualLayout>
          <c:xMode val="edge"/>
          <c:yMode val="edge"/>
          <c:x val="0.33587489063867015"/>
          <c:y val="8.0302939231832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14260717410326E-2"/>
          <c:y val="0.25865522018081066"/>
          <c:w val="0.79912270341207348"/>
          <c:h val="0.53774387576552929"/>
        </c:manualLayout>
      </c:layout>
      <c:barChart>
        <c:barDir val="col"/>
        <c:grouping val="clustered"/>
        <c:varyColors val="0"/>
        <c:ser>
          <c:idx val="0"/>
          <c:order val="0"/>
          <c:tx>
            <c:strRef>
              <c:f>'RAT &amp; NUMBEROF REVIEW'!$B$3</c:f>
              <c:strCache>
                <c:ptCount val="1"/>
                <c:pt idx="0">
                  <c:v>Total</c:v>
                </c:pt>
              </c:strCache>
            </c:strRef>
          </c:tx>
          <c:spPr>
            <a:solidFill>
              <a:schemeClr val="accent5"/>
            </a:solidFill>
            <a:ln>
              <a:noFill/>
            </a:ln>
            <a:effectLst/>
          </c:spPr>
          <c:invertIfNegative val="0"/>
          <c:cat>
            <c:strRef>
              <c:f>'RAT &amp; NUMBEROF REVIEW'!$A$4:$A$11</c:f>
              <c:strCache>
                <c:ptCount val="7"/>
                <c:pt idx="0">
                  <c:v>0-9</c:v>
                </c:pt>
                <c:pt idx="1">
                  <c:v>10-19</c:v>
                </c:pt>
                <c:pt idx="2">
                  <c:v>20-29</c:v>
                </c:pt>
                <c:pt idx="3">
                  <c:v>30-39</c:v>
                </c:pt>
                <c:pt idx="4">
                  <c:v>40-49</c:v>
                </c:pt>
                <c:pt idx="5">
                  <c:v>50-59</c:v>
                </c:pt>
                <c:pt idx="6">
                  <c:v>60-69</c:v>
                </c:pt>
              </c:strCache>
            </c:strRef>
          </c:cat>
          <c:val>
            <c:numRef>
              <c:f>'RAT &amp; NUMBEROF REVIEW'!$B$4:$B$11</c:f>
              <c:numCache>
                <c:formatCode>General</c:formatCode>
                <c:ptCount val="7"/>
                <c:pt idx="0">
                  <c:v>1.5226190476190475</c:v>
                </c:pt>
                <c:pt idx="1">
                  <c:v>3.5928571428571439</c:v>
                </c:pt>
                <c:pt idx="2">
                  <c:v>4.4666666666666659</c:v>
                </c:pt>
                <c:pt idx="3">
                  <c:v>4.5</c:v>
                </c:pt>
                <c:pt idx="4">
                  <c:v>4.5999999999999996</c:v>
                </c:pt>
                <c:pt idx="5">
                  <c:v>4.5999999999999996</c:v>
                </c:pt>
                <c:pt idx="6">
                  <c:v>2.8</c:v>
                </c:pt>
              </c:numCache>
            </c:numRef>
          </c:val>
          <c:extLst>
            <c:ext xmlns:c16="http://schemas.microsoft.com/office/drawing/2014/chart" uri="{C3380CC4-5D6E-409C-BE32-E72D297353CC}">
              <c16:uniqueId val="{00000000-09C5-48EB-AF6B-4FE5926D4AA1}"/>
            </c:ext>
          </c:extLst>
        </c:ser>
        <c:dLbls>
          <c:showLegendKey val="0"/>
          <c:showVal val="0"/>
          <c:showCatName val="0"/>
          <c:showSerName val="0"/>
          <c:showPercent val="0"/>
          <c:showBubbleSize val="0"/>
        </c:dLbls>
        <c:gapWidth val="219"/>
        <c:overlap val="-27"/>
        <c:axId val="845937871"/>
        <c:axId val="845934511"/>
      </c:barChart>
      <c:catAx>
        <c:axId val="84593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34511"/>
        <c:crosses val="autoZero"/>
        <c:auto val="1"/>
        <c:lblAlgn val="ctr"/>
        <c:lblOffset val="100"/>
        <c:noMultiLvlLbl val="0"/>
      </c:catAx>
      <c:valAx>
        <c:axId val="8459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3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5 rated prod!PivotTable5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5 rated products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rated prod'!$B$3</c:f>
              <c:strCache>
                <c:ptCount val="1"/>
                <c:pt idx="0">
                  <c:v>Total</c:v>
                </c:pt>
              </c:strCache>
            </c:strRef>
          </c:tx>
          <c:spPr>
            <a:solidFill>
              <a:schemeClr val="accent1"/>
            </a:solidFill>
            <a:ln>
              <a:noFill/>
            </a:ln>
            <a:effectLst/>
          </c:spPr>
          <c:invertIfNegative val="0"/>
          <c:cat>
            <c:strRef>
              <c:f>'Top 5 rated prod'!$A$4:$A$11</c:f>
              <c:strCache>
                <c:ptCount val="7"/>
                <c:pt idx="0">
                  <c:v>Peacock  Throw Pillow Cushion Case For Home Car</c:v>
                </c:pt>
                <c:pt idx="1">
                  <c:v>LASA Aluminum Folding Truck Hand Cart - 68kg Max</c:v>
                </c:pt>
                <c:pt idx="2">
                  <c:v>Konka Healty Electric Kettle, 24-hour Heat Preservation,1.5L,800W, White</c:v>
                </c:pt>
                <c:pt idx="3">
                  <c:v>DIY File Folder, Office Drawer File Holder, Pen Holder, Desktop Storage Rack</c:v>
                </c:pt>
                <c:pt idx="4">
                  <c:v>Classic Black Cat Cotton Hemp Pillow Case For Home Car</c:v>
                </c:pt>
                <c:pt idx="5">
                  <c:v>Bedroom Simple Floor Hanging Clothes Rack Single Pole Hat Rack - White</c:v>
                </c:pt>
                <c:pt idx="6">
                  <c:v>Anti-Skid Absorbent Insulation Coaster  For Home Office</c:v>
                </c:pt>
              </c:strCache>
            </c:strRef>
          </c:cat>
          <c:val>
            <c:numRef>
              <c:f>'Top 5 rated prod'!$B$4:$B$11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526F-4310-8A5A-FE8A9D7FB9ED}"/>
            </c:ext>
          </c:extLst>
        </c:ser>
        <c:dLbls>
          <c:showLegendKey val="0"/>
          <c:showVal val="0"/>
          <c:showCatName val="0"/>
          <c:showSerName val="0"/>
          <c:showPercent val="0"/>
          <c:showBubbleSize val="0"/>
        </c:dLbls>
        <c:gapWidth val="182"/>
        <c:axId val="1608805008"/>
        <c:axId val="1608805488"/>
      </c:barChart>
      <c:catAx>
        <c:axId val="16088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805488"/>
        <c:crosses val="autoZero"/>
        <c:auto val="1"/>
        <c:lblAlgn val="ctr"/>
        <c:lblOffset val="100"/>
        <c:noMultiLvlLbl val="0"/>
      </c:catAx>
      <c:valAx>
        <c:axId val="160880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80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prod vs reviews!PivotTable4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most reviews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reviews'!$B$3</c:f>
              <c:strCache>
                <c:ptCount val="1"/>
                <c:pt idx="0">
                  <c:v>Total</c:v>
                </c:pt>
              </c:strCache>
            </c:strRef>
          </c:tx>
          <c:spPr>
            <a:solidFill>
              <a:schemeClr val="accent1"/>
            </a:solidFill>
            <a:ln>
              <a:noFill/>
            </a:ln>
            <a:effectLst/>
          </c:spPr>
          <c:invertIfNegative val="0"/>
          <c:cat>
            <c:strRef>
              <c:f>'Top prod vs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prod vs reviews'!$B$4:$B$14</c:f>
              <c:numCache>
                <c:formatCode>0</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7294-44C8-813B-28D5361D8D28}"/>
            </c:ext>
          </c:extLst>
        </c:ser>
        <c:dLbls>
          <c:showLegendKey val="0"/>
          <c:showVal val="0"/>
          <c:showCatName val="0"/>
          <c:showSerName val="0"/>
          <c:showPercent val="0"/>
          <c:showBubbleSize val="0"/>
        </c:dLbls>
        <c:gapWidth val="182"/>
        <c:axId val="1566778448"/>
        <c:axId val="1566778928"/>
      </c:barChart>
      <c:catAx>
        <c:axId val="156677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78928"/>
        <c:crosses val="autoZero"/>
        <c:auto val="1"/>
        <c:lblAlgn val="ctr"/>
        <c:lblOffset val="100"/>
        <c:noMultiLvlLbl val="0"/>
      </c:catAx>
      <c:valAx>
        <c:axId val="1566778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7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assignment.xlsx]Top prod vs disc!PivotTable2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Top</a:t>
            </a:r>
            <a:r>
              <a:rPr lang="en-US" baseline="0">
                <a:solidFill>
                  <a:schemeClr val="accent2"/>
                </a:solidFill>
              </a:rPr>
              <a:t> products with highest discounts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 vs disc'!$B$3</c:f>
              <c:strCache>
                <c:ptCount val="1"/>
                <c:pt idx="0">
                  <c:v>Total</c:v>
                </c:pt>
              </c:strCache>
            </c:strRef>
          </c:tx>
          <c:spPr>
            <a:solidFill>
              <a:schemeClr val="accent1"/>
            </a:solidFill>
            <a:ln>
              <a:noFill/>
            </a:ln>
            <a:effectLst/>
          </c:spPr>
          <c:invertIfNegative val="0"/>
          <c:cat>
            <c:strRef>
              <c:f>'Top prod vs disc'!$A$4:$A$14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prod vs disc'!$B$4:$B$14</c:f>
              <c:numCache>
                <c:formatCode>0%</c:formatCode>
                <c:ptCount val="10"/>
                <c:pt idx="0">
                  <c:v>0.53</c:v>
                </c:pt>
                <c:pt idx="1">
                  <c:v>0.55000000000000004</c:v>
                </c:pt>
                <c:pt idx="2">
                  <c:v>0.64</c:v>
                </c:pt>
                <c:pt idx="3">
                  <c:v>0.53</c:v>
                </c:pt>
                <c:pt idx="4">
                  <c:v>0.61</c:v>
                </c:pt>
                <c:pt idx="5">
                  <c:v>0.52</c:v>
                </c:pt>
                <c:pt idx="6">
                  <c:v>0.52</c:v>
                </c:pt>
                <c:pt idx="7">
                  <c:v>0.54</c:v>
                </c:pt>
                <c:pt idx="8">
                  <c:v>0.55000000000000004</c:v>
                </c:pt>
                <c:pt idx="9">
                  <c:v>0.54</c:v>
                </c:pt>
              </c:numCache>
            </c:numRef>
          </c:val>
          <c:extLst>
            <c:ext xmlns:c16="http://schemas.microsoft.com/office/drawing/2014/chart" uri="{C3380CC4-5D6E-409C-BE32-E72D297353CC}">
              <c16:uniqueId val="{00000000-A35A-4578-A621-B34370805929}"/>
            </c:ext>
          </c:extLst>
        </c:ser>
        <c:dLbls>
          <c:showLegendKey val="0"/>
          <c:showVal val="0"/>
          <c:showCatName val="0"/>
          <c:showSerName val="0"/>
          <c:showPercent val="0"/>
          <c:showBubbleSize val="0"/>
        </c:dLbls>
        <c:gapWidth val="182"/>
        <c:axId val="1580464592"/>
        <c:axId val="1120391088"/>
      </c:barChart>
      <c:catAx>
        <c:axId val="158046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91088"/>
        <c:crosses val="autoZero"/>
        <c:auto val="1"/>
        <c:lblAlgn val="ctr"/>
        <c:lblOffset val="100"/>
        <c:noMultiLvlLbl val="0"/>
      </c:catAx>
      <c:valAx>
        <c:axId val="112039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46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374650</xdr:colOff>
      <xdr:row>1</xdr:row>
      <xdr:rowOff>31750</xdr:rowOff>
    </xdr:from>
    <xdr:to>
      <xdr:col>7</xdr:col>
      <xdr:colOff>374650</xdr:colOff>
      <xdr:row>14</xdr:row>
      <xdr:rowOff>161925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896EE287-7E71-EC71-4BE6-A0D137034F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48150" y="215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69850</xdr:colOff>
      <xdr:row>0</xdr:row>
      <xdr:rowOff>44450</xdr:rowOff>
    </xdr:from>
    <xdr:to>
      <xdr:col>12</xdr:col>
      <xdr:colOff>69850</xdr:colOff>
      <xdr:row>13</xdr:row>
      <xdr:rowOff>174625</xdr:rowOff>
    </xdr:to>
    <mc:AlternateContent xmlns:mc="http://schemas.openxmlformats.org/markup-compatibility/2006" xmlns:a14="http://schemas.microsoft.com/office/drawing/2010/main">
      <mc:Choice Requires="a14">
        <xdr:graphicFrame macro="">
          <xdr:nvGraphicFramePr>
            <xdr:cNvPr id="3" name="Discount">
              <a:extLst>
                <a:ext uri="{FF2B5EF4-FFF2-40B4-BE49-F238E27FC236}">
                  <a16:creationId xmlns:a16="http://schemas.microsoft.com/office/drawing/2014/main" id="{2CD92775-9361-22F9-44B6-E1C16A77FDB2}"/>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991350" y="4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488950</xdr:colOff>
      <xdr:row>1</xdr:row>
      <xdr:rowOff>133350</xdr:rowOff>
    </xdr:from>
    <xdr:to>
      <xdr:col>15</xdr:col>
      <xdr:colOff>488950</xdr:colOff>
      <xdr:row>15</xdr:row>
      <xdr:rowOff>79375</xdr:rowOff>
    </xdr:to>
    <mc:AlternateContent xmlns:mc="http://schemas.openxmlformats.org/markup-compatibility/2006" xmlns:a14="http://schemas.microsoft.com/office/drawing/2010/main">
      <mc:Choice Requires="a14">
        <xdr:graphicFrame macro="">
          <xdr:nvGraphicFramePr>
            <xdr:cNvPr id="5" name="Ratingd 2">
              <a:extLst>
                <a:ext uri="{FF2B5EF4-FFF2-40B4-BE49-F238E27FC236}">
                  <a16:creationId xmlns:a16="http://schemas.microsoft.com/office/drawing/2014/main" id="{67056764-1D44-7DDC-86FB-A151BFDCBF2A}"/>
                </a:ext>
              </a:extLst>
            </xdr:cNvPr>
            <xdr:cNvGraphicFramePr/>
          </xdr:nvGraphicFramePr>
          <xdr:xfrm>
            <a:off x="0" y="0"/>
            <a:ext cx="0" cy="0"/>
          </xdr:xfrm>
          <a:graphic>
            <a:graphicData uri="http://schemas.microsoft.com/office/drawing/2010/slicer">
              <sle:slicer xmlns:sle="http://schemas.microsoft.com/office/drawing/2010/slicer" name="Ratingd 2"/>
            </a:graphicData>
          </a:graphic>
        </xdr:graphicFrame>
      </mc:Choice>
      <mc:Fallback xmlns="">
        <xdr:sp macro="" textlink="">
          <xdr:nvSpPr>
            <xdr:cNvPr id="0" name=""/>
            <xdr:cNvSpPr>
              <a:spLocks noTextEdit="1"/>
            </xdr:cNvSpPr>
          </xdr:nvSpPr>
          <xdr:spPr>
            <a:xfrm>
              <a:off x="9239250" y="31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482600</xdr:colOff>
      <xdr:row>1</xdr:row>
      <xdr:rowOff>0</xdr:rowOff>
    </xdr:from>
    <xdr:to>
      <xdr:col>10</xdr:col>
      <xdr:colOff>177800</xdr:colOff>
      <xdr:row>14</xdr:row>
      <xdr:rowOff>101600</xdr:rowOff>
    </xdr:to>
    <xdr:graphicFrame macro="">
      <xdr:nvGraphicFramePr>
        <xdr:cNvPr id="2" name="Chart 1">
          <a:extLst>
            <a:ext uri="{FF2B5EF4-FFF2-40B4-BE49-F238E27FC236}">
              <a16:creationId xmlns:a16="http://schemas.microsoft.com/office/drawing/2014/main" id="{D0986D14-12EB-A2E3-16D6-DC4D3AB26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2</xdr:row>
      <xdr:rowOff>88900</xdr:rowOff>
    </xdr:from>
    <xdr:to>
      <xdr:col>11</xdr:col>
      <xdr:colOff>101600</xdr:colOff>
      <xdr:row>14</xdr:row>
      <xdr:rowOff>95250</xdr:rowOff>
    </xdr:to>
    <xdr:graphicFrame macro="">
      <xdr:nvGraphicFramePr>
        <xdr:cNvPr id="2" name="Chart 1">
          <a:extLst>
            <a:ext uri="{FF2B5EF4-FFF2-40B4-BE49-F238E27FC236}">
              <a16:creationId xmlns:a16="http://schemas.microsoft.com/office/drawing/2014/main" id="{066763FA-67D2-BEFB-4551-C3971867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514350</xdr:colOff>
      <xdr:row>1</xdr:row>
      <xdr:rowOff>127000</xdr:rowOff>
    </xdr:from>
    <xdr:to>
      <xdr:col>18</xdr:col>
      <xdr:colOff>568325</xdr:colOff>
      <xdr:row>13</xdr:row>
      <xdr:rowOff>161925</xdr:rowOff>
    </xdr:to>
    <xdr:graphicFrame macro="">
      <xdr:nvGraphicFramePr>
        <xdr:cNvPr id="3" name="Chart 2">
          <a:extLst>
            <a:ext uri="{FF2B5EF4-FFF2-40B4-BE49-F238E27FC236}">
              <a16:creationId xmlns:a16="http://schemas.microsoft.com/office/drawing/2014/main" id="{F030D89E-87D6-4354-BD1C-47A6BB4A6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285750</xdr:colOff>
      <xdr:row>2</xdr:row>
      <xdr:rowOff>44450</xdr:rowOff>
    </xdr:from>
    <xdr:to>
      <xdr:col>7</xdr:col>
      <xdr:colOff>285750</xdr:colOff>
      <xdr:row>15</xdr:row>
      <xdr:rowOff>174625</xdr:rowOff>
    </xdr:to>
    <mc:AlternateContent xmlns:mc="http://schemas.openxmlformats.org/markup-compatibility/2006">
      <mc:Choice xmlns:a14="http://schemas.microsoft.com/office/drawing/2010/main" Requires="a14">
        <xdr:graphicFrame macro="">
          <xdr:nvGraphicFramePr>
            <xdr:cNvPr id="2" name="Review 1">
              <a:extLst>
                <a:ext uri="{FF2B5EF4-FFF2-40B4-BE49-F238E27FC236}">
                  <a16:creationId xmlns:a16="http://schemas.microsoft.com/office/drawing/2014/main" id="{07B158E2-38BA-B4BB-DC93-5B3D84098C74}"/>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dr:sp macro="" textlink="">
          <xdr:nvSpPr>
            <xdr:cNvPr id="0" name=""/>
            <xdr:cNvSpPr>
              <a:spLocks noTextEdit="1"/>
            </xdr:cNvSpPr>
          </xdr:nvSpPr>
          <xdr:spPr>
            <a:xfrm>
              <a:off x="3416300" y="41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187325</xdr:colOff>
      <xdr:row>2</xdr:row>
      <xdr:rowOff>0</xdr:rowOff>
    </xdr:from>
    <xdr:to>
      <xdr:col>9</xdr:col>
      <xdr:colOff>492125</xdr:colOff>
      <xdr:row>16</xdr:row>
      <xdr:rowOff>165100</xdr:rowOff>
    </xdr:to>
    <xdr:graphicFrame macro="">
      <xdr:nvGraphicFramePr>
        <xdr:cNvPr id="2" name="Chart 1">
          <a:extLst>
            <a:ext uri="{FF2B5EF4-FFF2-40B4-BE49-F238E27FC236}">
              <a16:creationId xmlns:a16="http://schemas.microsoft.com/office/drawing/2014/main" id="{1C74238A-3EFA-50F4-BA2F-B200B4314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2035175</xdr:colOff>
      <xdr:row>1</xdr:row>
      <xdr:rowOff>82550</xdr:rowOff>
    </xdr:from>
    <xdr:to>
      <xdr:col>4</xdr:col>
      <xdr:colOff>180975</xdr:colOff>
      <xdr:row>16</xdr:row>
      <xdr:rowOff>63500</xdr:rowOff>
    </xdr:to>
    <xdr:graphicFrame macro="">
      <xdr:nvGraphicFramePr>
        <xdr:cNvPr id="2" name="Chart 1">
          <a:extLst>
            <a:ext uri="{FF2B5EF4-FFF2-40B4-BE49-F238E27FC236}">
              <a16:creationId xmlns:a16="http://schemas.microsoft.com/office/drawing/2014/main" id="{76D770E0-F6F9-70E2-FEAA-350618112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593725</xdr:colOff>
      <xdr:row>1</xdr:row>
      <xdr:rowOff>44450</xdr:rowOff>
    </xdr:from>
    <xdr:to>
      <xdr:col>10</xdr:col>
      <xdr:colOff>288925</xdr:colOff>
      <xdr:row>16</xdr:row>
      <xdr:rowOff>25400</xdr:rowOff>
    </xdr:to>
    <xdr:graphicFrame macro="">
      <xdr:nvGraphicFramePr>
        <xdr:cNvPr id="2" name="Chart 1">
          <a:extLst>
            <a:ext uri="{FF2B5EF4-FFF2-40B4-BE49-F238E27FC236}">
              <a16:creationId xmlns:a16="http://schemas.microsoft.com/office/drawing/2014/main" id="{51BD10C6-DB7F-F4AF-885E-C046824AD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241300</xdr:colOff>
      <xdr:row>0</xdr:row>
      <xdr:rowOff>101600</xdr:rowOff>
    </xdr:from>
    <xdr:to>
      <xdr:col>11</xdr:col>
      <xdr:colOff>241300</xdr:colOff>
      <xdr:row>14</xdr:row>
      <xdr:rowOff>47625</xdr:rowOff>
    </xdr:to>
    <mc:AlternateContent xmlns:mc="http://schemas.openxmlformats.org/markup-compatibility/2006" xmlns:a14="http://schemas.microsoft.com/office/drawing/2010/main">
      <mc:Choice Requires="a14">
        <xdr:graphicFrame macro="">
          <xdr:nvGraphicFramePr>
            <xdr:cNvPr id="3" name="Review">
              <a:extLst>
                <a:ext uri="{FF2B5EF4-FFF2-40B4-BE49-F238E27FC236}">
                  <a16:creationId xmlns:a16="http://schemas.microsoft.com/office/drawing/2014/main" id="{80ACD7CA-52BB-AC8F-34DB-42DB753E9C98}"/>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622935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0</xdr:row>
      <xdr:rowOff>6350</xdr:rowOff>
    </xdr:from>
    <xdr:to>
      <xdr:col>8</xdr:col>
      <xdr:colOff>95250</xdr:colOff>
      <xdr:row>13</xdr:row>
      <xdr:rowOff>136525</xdr:rowOff>
    </xdr:to>
    <mc:AlternateContent xmlns:mc="http://schemas.openxmlformats.org/markup-compatibility/2006" xmlns:a14="http://schemas.microsoft.com/office/drawing/2010/main">
      <mc:Choice Requires="a14">
        <xdr:graphicFrame macro="">
          <xdr:nvGraphicFramePr>
            <xdr:cNvPr id="4" name="Ratingd">
              <a:extLst>
                <a:ext uri="{FF2B5EF4-FFF2-40B4-BE49-F238E27FC236}">
                  <a16:creationId xmlns:a16="http://schemas.microsoft.com/office/drawing/2014/main" id="{8DE9A7A4-2835-A9A5-E8C7-002235A32CBE}"/>
                </a:ext>
              </a:extLst>
            </xdr:cNvPr>
            <xdr:cNvGraphicFramePr/>
          </xdr:nvGraphicFramePr>
          <xdr:xfrm>
            <a:off x="0" y="0"/>
            <a:ext cx="0" cy="0"/>
          </xdr:xfrm>
          <a:graphic>
            <a:graphicData uri="http://schemas.microsoft.com/office/drawing/2010/slicer">
              <sle:slicer xmlns:sle="http://schemas.microsoft.com/office/drawing/2010/slicer" name="Ratingd"/>
            </a:graphicData>
          </a:graphic>
        </xdr:graphicFrame>
      </mc:Choice>
      <mc:Fallback xmlns="">
        <xdr:sp macro="" textlink="">
          <xdr:nvSpPr>
            <xdr:cNvPr id="0" name=""/>
            <xdr:cNvSpPr>
              <a:spLocks noTextEdit="1"/>
            </xdr:cNvSpPr>
          </xdr:nvSpPr>
          <xdr:spPr>
            <a:xfrm>
              <a:off x="4254500" y="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133350</xdr:colOff>
      <xdr:row>0</xdr:row>
      <xdr:rowOff>158750</xdr:rowOff>
    </xdr:from>
    <xdr:to>
      <xdr:col>15</xdr:col>
      <xdr:colOff>234950</xdr:colOff>
      <xdr:row>4</xdr:row>
      <xdr:rowOff>88900</xdr:rowOff>
    </xdr:to>
    <xdr:sp macro="" textlink="">
      <xdr:nvSpPr>
        <xdr:cNvPr id="2" name="Rectangle: Rounded Corners 1">
          <a:extLst>
            <a:ext uri="{FF2B5EF4-FFF2-40B4-BE49-F238E27FC236}">
              <a16:creationId xmlns:a16="http://schemas.microsoft.com/office/drawing/2014/main" id="{ED5248D0-2B91-C4F1-5B30-EB913E0836E1}"/>
            </a:ext>
          </a:extLst>
        </xdr:cNvPr>
        <xdr:cNvSpPr/>
      </xdr:nvSpPr>
      <xdr:spPr>
        <a:xfrm>
          <a:off x="3181350" y="158750"/>
          <a:ext cx="619760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2"/>
              </a:solidFill>
            </a:rPr>
            <a:t>JUMIA</a:t>
          </a:r>
          <a:r>
            <a:rPr lang="en-US" sz="2400" b="1" baseline="0">
              <a:solidFill>
                <a:schemeClr val="accent2"/>
              </a:solidFill>
            </a:rPr>
            <a:t> PRODUCT PERFORMANCE DASHBOARD</a:t>
          </a:r>
          <a:endParaRPr lang="en-US" sz="2400" b="1">
            <a:solidFill>
              <a:schemeClr val="accent2"/>
            </a:solidFill>
          </a:endParaRPr>
        </a:p>
        <a:p>
          <a:pPr algn="l"/>
          <a:endParaRPr lang="en-US" sz="1100" b="1">
            <a:solidFill>
              <a:schemeClr val="accent2"/>
            </a:solidFill>
          </a:endParaRPr>
        </a:p>
        <a:p>
          <a:pPr algn="l"/>
          <a:endParaRPr lang="en-US" sz="2400" b="1">
            <a:solidFill>
              <a:schemeClr val="accent2"/>
            </a:solidFill>
          </a:endParaRPr>
        </a:p>
      </xdr:txBody>
    </xdr:sp>
    <xdr:clientData/>
  </xdr:twoCellAnchor>
  <xdr:twoCellAnchor>
    <xdr:from>
      <xdr:col>5</xdr:col>
      <xdr:colOff>133350</xdr:colOff>
      <xdr:row>5</xdr:row>
      <xdr:rowOff>120650</xdr:rowOff>
    </xdr:from>
    <xdr:to>
      <xdr:col>7</xdr:col>
      <xdr:colOff>330200</xdr:colOff>
      <xdr:row>8</xdr:row>
      <xdr:rowOff>50800</xdr:rowOff>
    </xdr:to>
    <xdr:sp macro="" textlink="">
      <xdr:nvSpPr>
        <xdr:cNvPr id="3" name="Rectangle: Rounded Corners 2">
          <a:extLst>
            <a:ext uri="{FF2B5EF4-FFF2-40B4-BE49-F238E27FC236}">
              <a16:creationId xmlns:a16="http://schemas.microsoft.com/office/drawing/2014/main" id="{10CA6AA9-3961-2111-1CD6-8E4FB75D423B}"/>
            </a:ext>
          </a:extLst>
        </xdr:cNvPr>
        <xdr:cNvSpPr/>
      </xdr:nvSpPr>
      <xdr:spPr>
        <a:xfrm>
          <a:off x="3181350" y="1041400"/>
          <a:ext cx="1416050" cy="48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no. of products</a:t>
          </a:r>
        </a:p>
        <a:p>
          <a:pPr algn="l"/>
          <a:r>
            <a:rPr lang="en-US" sz="1100" baseline="0"/>
            <a:t>            109</a:t>
          </a:r>
          <a:endParaRPr lang="en-US" sz="1100"/>
        </a:p>
      </xdr:txBody>
    </xdr:sp>
    <xdr:clientData/>
  </xdr:twoCellAnchor>
  <xdr:twoCellAnchor>
    <xdr:from>
      <xdr:col>7</xdr:col>
      <xdr:colOff>590550</xdr:colOff>
      <xdr:row>5</xdr:row>
      <xdr:rowOff>88900</xdr:rowOff>
    </xdr:from>
    <xdr:to>
      <xdr:col>9</xdr:col>
      <xdr:colOff>596900</xdr:colOff>
      <xdr:row>8</xdr:row>
      <xdr:rowOff>38100</xdr:rowOff>
    </xdr:to>
    <xdr:sp macro="" textlink="">
      <xdr:nvSpPr>
        <xdr:cNvPr id="4" name="Rectangle: Rounded Corners 3">
          <a:extLst>
            <a:ext uri="{FF2B5EF4-FFF2-40B4-BE49-F238E27FC236}">
              <a16:creationId xmlns:a16="http://schemas.microsoft.com/office/drawing/2014/main" id="{19978FAB-86CB-57BB-0612-FFBF04B18C44}"/>
            </a:ext>
          </a:extLst>
        </xdr:cNvPr>
        <xdr:cNvSpPr/>
      </xdr:nvSpPr>
      <xdr:spPr>
        <a:xfrm>
          <a:off x="4857750" y="1009650"/>
          <a:ext cx="1225550" cy="501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rating</a:t>
          </a:r>
        </a:p>
        <a:p>
          <a:pPr algn="l"/>
          <a:r>
            <a:rPr lang="en-US" sz="1100" baseline="0"/>
            <a:t>       2.1</a:t>
          </a:r>
          <a:endParaRPr lang="en-US" sz="1100"/>
        </a:p>
      </xdr:txBody>
    </xdr:sp>
    <xdr:clientData/>
  </xdr:twoCellAnchor>
  <xdr:twoCellAnchor>
    <xdr:from>
      <xdr:col>10</xdr:col>
      <xdr:colOff>165100</xdr:colOff>
      <xdr:row>5</xdr:row>
      <xdr:rowOff>63500</xdr:rowOff>
    </xdr:from>
    <xdr:to>
      <xdr:col>13</xdr:col>
      <xdr:colOff>273050</xdr:colOff>
      <xdr:row>8</xdr:row>
      <xdr:rowOff>31750</xdr:rowOff>
    </xdr:to>
    <xdr:sp macro="" textlink="">
      <xdr:nvSpPr>
        <xdr:cNvPr id="5" name="Rectangle: Rounded Corners 4">
          <a:extLst>
            <a:ext uri="{FF2B5EF4-FFF2-40B4-BE49-F238E27FC236}">
              <a16:creationId xmlns:a16="http://schemas.microsoft.com/office/drawing/2014/main" id="{6D16903B-FCB2-D70E-1F3C-F8D3904132C1}"/>
            </a:ext>
          </a:extLst>
        </xdr:cNvPr>
        <xdr:cNvSpPr/>
      </xdr:nvSpPr>
      <xdr:spPr>
        <a:xfrm>
          <a:off x="6261100" y="984250"/>
          <a:ext cx="1936750" cy="520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discount</a:t>
          </a:r>
          <a:r>
            <a:rPr lang="en-US" sz="1100" baseline="0"/>
            <a:t> percentage</a:t>
          </a:r>
        </a:p>
        <a:p>
          <a:pPr algn="l"/>
          <a:r>
            <a:rPr lang="en-US" sz="1100" baseline="0"/>
            <a:t>         36%</a:t>
          </a:r>
        </a:p>
        <a:p>
          <a:pPr algn="l"/>
          <a:endParaRPr lang="en-US" sz="1100"/>
        </a:p>
      </xdr:txBody>
    </xdr:sp>
    <xdr:clientData/>
  </xdr:twoCellAnchor>
  <xdr:twoCellAnchor>
    <xdr:from>
      <xdr:col>13</xdr:col>
      <xdr:colOff>412750</xdr:colOff>
      <xdr:row>5</xdr:row>
      <xdr:rowOff>50800</xdr:rowOff>
    </xdr:from>
    <xdr:to>
      <xdr:col>16</xdr:col>
      <xdr:colOff>317500</xdr:colOff>
      <xdr:row>8</xdr:row>
      <xdr:rowOff>50800</xdr:rowOff>
    </xdr:to>
    <xdr:sp macro="" textlink="">
      <xdr:nvSpPr>
        <xdr:cNvPr id="6" name="Rectangle: Rounded Corners 5">
          <a:extLst>
            <a:ext uri="{FF2B5EF4-FFF2-40B4-BE49-F238E27FC236}">
              <a16:creationId xmlns:a16="http://schemas.microsoft.com/office/drawing/2014/main" id="{BD1559A5-F3FC-699F-2F24-2F7FBB23FDC2}"/>
            </a:ext>
          </a:extLst>
        </xdr:cNvPr>
        <xdr:cNvSpPr/>
      </xdr:nvSpPr>
      <xdr:spPr>
        <a:xfrm>
          <a:off x="8337550" y="971550"/>
          <a:ext cx="173355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reviews</a:t>
          </a:r>
        </a:p>
        <a:p>
          <a:pPr algn="l"/>
          <a:r>
            <a:rPr lang="en-US" sz="1100"/>
            <a:t>               723</a:t>
          </a:r>
        </a:p>
      </xdr:txBody>
    </xdr:sp>
    <xdr:clientData/>
  </xdr:twoCellAnchor>
  <xdr:twoCellAnchor editAs="oneCell">
    <xdr:from>
      <xdr:col>0</xdr:col>
      <xdr:colOff>450850</xdr:colOff>
      <xdr:row>8</xdr:row>
      <xdr:rowOff>126999</xdr:rowOff>
    </xdr:from>
    <xdr:to>
      <xdr:col>3</xdr:col>
      <xdr:colOff>450850</xdr:colOff>
      <xdr:row>16</xdr:row>
      <xdr:rowOff>57150</xdr:rowOff>
    </xdr:to>
    <mc:AlternateContent xmlns:mc="http://schemas.openxmlformats.org/markup-compatibility/2006">
      <mc:Choice xmlns:a14="http://schemas.microsoft.com/office/drawing/2010/main" Requires="a14">
        <xdr:graphicFrame macro="">
          <xdr:nvGraphicFramePr>
            <xdr:cNvPr id="9" name="Ratingd 3">
              <a:extLst>
                <a:ext uri="{FF2B5EF4-FFF2-40B4-BE49-F238E27FC236}">
                  <a16:creationId xmlns:a16="http://schemas.microsoft.com/office/drawing/2014/main" id="{CB053CA7-D059-4291-995F-B3A305774B34}"/>
                </a:ext>
              </a:extLst>
            </xdr:cNvPr>
            <xdr:cNvGraphicFramePr/>
          </xdr:nvGraphicFramePr>
          <xdr:xfrm>
            <a:off x="0" y="0"/>
            <a:ext cx="0" cy="0"/>
          </xdr:xfrm>
          <a:graphic>
            <a:graphicData uri="http://schemas.microsoft.com/office/drawing/2010/slicer">
              <sle:slicer xmlns:sle="http://schemas.microsoft.com/office/drawing/2010/slicer" name="Ratingd 3"/>
            </a:graphicData>
          </a:graphic>
        </xdr:graphicFrame>
      </mc:Choice>
      <mc:Fallback>
        <xdr:sp macro="" textlink="">
          <xdr:nvSpPr>
            <xdr:cNvPr id="0" name=""/>
            <xdr:cNvSpPr>
              <a:spLocks noTextEdit="1"/>
            </xdr:cNvSpPr>
          </xdr:nvSpPr>
          <xdr:spPr>
            <a:xfrm>
              <a:off x="450850" y="1590728"/>
              <a:ext cx="1840424" cy="1393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431800</xdr:colOff>
      <xdr:row>16</xdr:row>
      <xdr:rowOff>95250</xdr:rowOff>
    </xdr:from>
    <xdr:to>
      <xdr:col>3</xdr:col>
      <xdr:colOff>431800</xdr:colOff>
      <xdr:row>27</xdr:row>
      <xdr:rowOff>117475</xdr:rowOff>
    </xdr:to>
    <mc:AlternateContent xmlns:mc="http://schemas.openxmlformats.org/markup-compatibility/2006">
      <mc:Choice xmlns:a14="http://schemas.microsoft.com/office/drawing/2010/main" Requires="a14">
        <xdr:graphicFrame macro="">
          <xdr:nvGraphicFramePr>
            <xdr:cNvPr id="11" name="Discount 1">
              <a:extLst>
                <a:ext uri="{FF2B5EF4-FFF2-40B4-BE49-F238E27FC236}">
                  <a16:creationId xmlns:a16="http://schemas.microsoft.com/office/drawing/2014/main" id="{A8EF2A21-99C8-4821-B3DA-559621F43E4C}"/>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431800" y="3022708"/>
              <a:ext cx="1840424" cy="2034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171450</xdr:colOff>
      <xdr:row>9</xdr:row>
      <xdr:rowOff>76200</xdr:rowOff>
    </xdr:from>
    <xdr:to>
      <xdr:col>11</xdr:col>
      <xdr:colOff>225425</xdr:colOff>
      <xdr:row>21</xdr:row>
      <xdr:rowOff>111125</xdr:rowOff>
    </xdr:to>
    <xdr:graphicFrame macro="">
      <xdr:nvGraphicFramePr>
        <xdr:cNvPr id="12" name="Chart 11">
          <a:extLst>
            <a:ext uri="{FF2B5EF4-FFF2-40B4-BE49-F238E27FC236}">
              <a16:creationId xmlns:a16="http://schemas.microsoft.com/office/drawing/2014/main" id="{EAF576DE-0CA0-41BC-92A0-1AF366F92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444500</xdr:colOff>
      <xdr:row>28</xdr:row>
      <xdr:rowOff>31751</xdr:rowOff>
    </xdr:from>
    <xdr:to>
      <xdr:col>3</xdr:col>
      <xdr:colOff>444500</xdr:colOff>
      <xdr:row>38</xdr:row>
      <xdr:rowOff>101601</xdr:rowOff>
    </xdr:to>
    <mc:AlternateContent xmlns:mc="http://schemas.openxmlformats.org/markup-compatibility/2006">
      <mc:Choice xmlns:a14="http://schemas.microsoft.com/office/drawing/2010/main" Requires="a14">
        <xdr:graphicFrame macro="">
          <xdr:nvGraphicFramePr>
            <xdr:cNvPr id="13" name="Review 2">
              <a:extLst>
                <a:ext uri="{FF2B5EF4-FFF2-40B4-BE49-F238E27FC236}">
                  <a16:creationId xmlns:a16="http://schemas.microsoft.com/office/drawing/2014/main" id="{5B5CF872-1E93-4A51-8F9D-1AE5F1298BB9}"/>
                </a:ext>
              </a:extLst>
            </xdr:cNvPr>
            <xdr:cNvGraphicFramePr/>
          </xdr:nvGraphicFramePr>
          <xdr:xfrm>
            <a:off x="0" y="0"/>
            <a:ext cx="0" cy="0"/>
          </xdr:xfrm>
          <a:graphic>
            <a:graphicData uri="http://schemas.microsoft.com/office/drawing/2010/slicer">
              <sle:slicer xmlns:sle="http://schemas.microsoft.com/office/drawing/2010/slicer" name="Review 2"/>
            </a:graphicData>
          </a:graphic>
        </xdr:graphicFrame>
      </mc:Choice>
      <mc:Fallback>
        <xdr:sp macro="" textlink="">
          <xdr:nvSpPr>
            <xdr:cNvPr id="0" name=""/>
            <xdr:cNvSpPr>
              <a:spLocks noTextEdit="1"/>
            </xdr:cNvSpPr>
          </xdr:nvSpPr>
          <xdr:spPr>
            <a:xfrm>
              <a:off x="444500" y="5154802"/>
              <a:ext cx="1840424" cy="1899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184150</xdr:colOff>
      <xdr:row>22</xdr:row>
      <xdr:rowOff>50800</xdr:rowOff>
    </xdr:from>
    <xdr:to>
      <xdr:col>11</xdr:col>
      <xdr:colOff>488950</xdr:colOff>
      <xdr:row>35</xdr:row>
      <xdr:rowOff>152400</xdr:rowOff>
    </xdr:to>
    <xdr:graphicFrame macro="">
      <xdr:nvGraphicFramePr>
        <xdr:cNvPr id="14" name="Chart 13">
          <a:extLst>
            <a:ext uri="{FF2B5EF4-FFF2-40B4-BE49-F238E27FC236}">
              <a16:creationId xmlns:a16="http://schemas.microsoft.com/office/drawing/2014/main" id="{5C240A61-DD45-491D-9CA9-4BD91B6B5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425450</xdr:colOff>
      <xdr:row>9</xdr:row>
      <xdr:rowOff>95250</xdr:rowOff>
    </xdr:from>
    <xdr:to>
      <xdr:col>19</xdr:col>
      <xdr:colOff>120650</xdr:colOff>
      <xdr:row>21</xdr:row>
      <xdr:rowOff>120650</xdr:rowOff>
    </xdr:to>
    <xdr:graphicFrame macro="">
      <xdr:nvGraphicFramePr>
        <xdr:cNvPr id="15" name="Chart 14">
          <a:extLst>
            <a:ext uri="{FF2B5EF4-FFF2-40B4-BE49-F238E27FC236}">
              <a16:creationId xmlns:a16="http://schemas.microsoft.com/office/drawing/2014/main" id="{90A59A04-BBB8-41EA-93EC-B3C4DCB35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82550</xdr:colOff>
      <xdr:row>22</xdr:row>
      <xdr:rowOff>158750</xdr:rowOff>
    </xdr:from>
    <xdr:to>
      <xdr:col>19</xdr:col>
      <xdr:colOff>387350</xdr:colOff>
      <xdr:row>35</xdr:row>
      <xdr:rowOff>120650</xdr:rowOff>
    </xdr:to>
    <xdr:graphicFrame macro="">
      <xdr:nvGraphicFramePr>
        <xdr:cNvPr id="16" name="Chart 15">
          <a:extLst>
            <a:ext uri="{FF2B5EF4-FFF2-40B4-BE49-F238E27FC236}">
              <a16:creationId xmlns:a16="http://schemas.microsoft.com/office/drawing/2014/main" id="{6A2F3A94-8FD9-4DF1-A9B8-300BD51F6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190500</xdr:colOff>
      <xdr:row>36</xdr:row>
      <xdr:rowOff>19050</xdr:rowOff>
    </xdr:from>
    <xdr:to>
      <xdr:col>11</xdr:col>
      <xdr:colOff>495300</xdr:colOff>
      <xdr:row>48</xdr:row>
      <xdr:rowOff>127000</xdr:rowOff>
    </xdr:to>
    <xdr:graphicFrame macro="">
      <xdr:nvGraphicFramePr>
        <xdr:cNvPr id="17" name="Chart 16">
          <a:extLst>
            <a:ext uri="{FF2B5EF4-FFF2-40B4-BE49-F238E27FC236}">
              <a16:creationId xmlns:a16="http://schemas.microsoft.com/office/drawing/2014/main" id="{C73CF2C7-8997-41BF-8F4D-D4070E49C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3.803016087964" createdVersion="8" refreshedVersion="8" minRefreshableVersion="3" recordCount="109" xr:uid="{A3BD6C55-FF13-4949-B05B-FD342B1C6D1F}">
  <cacheSource type="worksheet">
    <worksheetSource name="Table1"/>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amount(Ksh)" numFmtId="1">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s v="high"/>
        <s v="low"/>
      </sharedItems>
    </cacheField>
    <cacheField name="Review" numFmtId="1">
      <sharedItems containsSemiMixedTypes="0" containsString="0" containsNumber="1" containsInteger="1" minValue="0" maxValue="69" count="24">
        <n v="2"/>
        <n v="14"/>
        <n v="24"/>
        <n v="7"/>
        <n v="5"/>
        <n v="15"/>
        <n v="55"/>
        <n v="12"/>
        <n v="39"/>
        <n v="6"/>
        <n v="9"/>
        <n v="3"/>
        <n v="44"/>
        <n v="13"/>
        <n v="0"/>
        <n v="49"/>
        <n v="20"/>
        <n v="32"/>
        <n v="1"/>
        <n v="36"/>
        <n v="10"/>
        <n v="69"/>
        <n v="16"/>
        <n v="17"/>
      </sharedItems>
      <fieldGroup base="6">
        <rangePr startNum="0" endNum="69" groupInterval="10"/>
        <groupItems count="9">
          <s v="&lt;0"/>
          <s v="0-9"/>
          <s v="10-19"/>
          <s v="20-29"/>
          <s v="30-39"/>
          <s v="40-49"/>
          <s v="50-59"/>
          <s v="60-69"/>
          <s v="&gt;70"/>
        </groupItems>
      </fieldGroup>
    </cacheField>
    <cacheField name="Ratingd" numFmtId="164">
      <sharedItems containsString="0" containsBlank="1" containsNumber="1" minValue="0" maxValue="5" count="24">
        <n v="4.5"/>
        <n v="4.0999999999999996"/>
        <n v="4.5999999999999996"/>
        <n v="4.7"/>
        <n v="4.8"/>
        <n v="4"/>
        <n v="3.8"/>
        <n v="4.2"/>
        <n v="5"/>
        <n v="3.3"/>
        <m/>
        <n v="4.4000000000000004"/>
        <n v="4.3"/>
        <n v="0"/>
        <n v="2.5"/>
        <n v="3"/>
        <n v="2.1"/>
        <n v="2.8"/>
        <n v="2.7"/>
        <n v="2.9"/>
        <n v="2.2000000000000002"/>
        <n v="2.2999999999999998"/>
        <n v="2.6"/>
        <n v="2"/>
      </sharedItems>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1278404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950"/>
    <n v="1525"/>
    <n v="575"/>
    <x v="0"/>
    <x v="0"/>
    <x v="0"/>
    <x v="0"/>
    <x v="0"/>
  </r>
  <r>
    <x v="1"/>
    <n v="527"/>
    <n v="999"/>
    <n v="472"/>
    <x v="1"/>
    <x v="1"/>
    <x v="1"/>
    <x v="1"/>
    <x v="1"/>
  </r>
  <r>
    <x v="2"/>
    <n v="2199"/>
    <n v="2923"/>
    <n v="724"/>
    <x v="2"/>
    <x v="0"/>
    <x v="2"/>
    <x v="2"/>
    <x v="0"/>
  </r>
  <r>
    <x v="3"/>
    <n v="1580"/>
    <n v="2499"/>
    <n v="919"/>
    <x v="3"/>
    <x v="0"/>
    <x v="3"/>
    <x v="3"/>
    <x v="0"/>
  </r>
  <r>
    <x v="4"/>
    <n v="1740"/>
    <n v="2356"/>
    <n v="616"/>
    <x v="4"/>
    <x v="0"/>
    <x v="4"/>
    <x v="4"/>
    <x v="0"/>
  </r>
  <r>
    <x v="5"/>
    <n v="2999"/>
    <n v="3290"/>
    <n v="291"/>
    <x v="5"/>
    <x v="2"/>
    <x v="5"/>
    <x v="5"/>
    <x v="1"/>
  </r>
  <r>
    <x v="6"/>
    <n v="2319"/>
    <n v="3032"/>
    <n v="713"/>
    <x v="6"/>
    <x v="0"/>
    <x v="6"/>
    <x v="2"/>
    <x v="0"/>
  </r>
  <r>
    <x v="7"/>
    <n v="988"/>
    <n v="1580"/>
    <n v="592"/>
    <x v="3"/>
    <x v="0"/>
    <x v="0"/>
    <x v="5"/>
    <x v="1"/>
  </r>
  <r>
    <x v="8"/>
    <n v="1274"/>
    <n v="2800"/>
    <n v="1526"/>
    <x v="7"/>
    <x v="1"/>
    <x v="4"/>
    <x v="4"/>
    <x v="0"/>
  </r>
  <r>
    <x v="9"/>
    <n v="1600"/>
    <n v="2929"/>
    <n v="1329"/>
    <x v="8"/>
    <x v="1"/>
    <x v="4"/>
    <x v="6"/>
    <x v="1"/>
  </r>
  <r>
    <x v="10"/>
    <n v="799"/>
    <n v="999"/>
    <n v="200"/>
    <x v="9"/>
    <x v="0"/>
    <x v="7"/>
    <x v="1"/>
    <x v="1"/>
  </r>
  <r>
    <x v="11"/>
    <n v="990"/>
    <n v="1500"/>
    <n v="510"/>
    <x v="10"/>
    <x v="0"/>
    <x v="8"/>
    <x v="3"/>
    <x v="0"/>
  </r>
  <r>
    <x v="12"/>
    <n v="552"/>
    <n v="1035"/>
    <n v="483"/>
    <x v="1"/>
    <x v="1"/>
    <x v="7"/>
    <x v="4"/>
    <x v="0"/>
  </r>
  <r>
    <x v="13"/>
    <n v="501"/>
    <n v="860"/>
    <n v="359"/>
    <x v="11"/>
    <x v="1"/>
    <x v="9"/>
    <x v="0"/>
    <x v="0"/>
  </r>
  <r>
    <x v="14"/>
    <n v="1680"/>
    <n v="2499"/>
    <n v="819"/>
    <x v="12"/>
    <x v="0"/>
    <x v="10"/>
    <x v="7"/>
    <x v="1"/>
  </r>
  <r>
    <x v="15"/>
    <n v="332"/>
    <n v="684"/>
    <n v="352"/>
    <x v="13"/>
    <x v="1"/>
    <x v="0"/>
    <x v="8"/>
    <x v="0"/>
  </r>
  <r>
    <x v="16"/>
    <n v="195"/>
    <n v="360"/>
    <n v="165"/>
    <x v="14"/>
    <x v="1"/>
    <x v="0"/>
    <x v="8"/>
    <x v="0"/>
  </r>
  <r>
    <x v="17"/>
    <n v="2025"/>
    <n v="3971"/>
    <n v="1946"/>
    <x v="15"/>
    <x v="1"/>
    <x v="11"/>
    <x v="8"/>
    <x v="0"/>
  </r>
  <r>
    <x v="18"/>
    <n v="2999"/>
    <n v="3699"/>
    <n v="700"/>
    <x v="16"/>
    <x v="2"/>
    <x v="4"/>
    <x v="2"/>
    <x v="0"/>
  </r>
  <r>
    <x v="19"/>
    <n v="998"/>
    <n v="1966"/>
    <n v="968"/>
    <x v="15"/>
    <x v="1"/>
    <x v="12"/>
    <x v="2"/>
    <x v="0"/>
  </r>
  <r>
    <x v="20"/>
    <n v="38"/>
    <n v="80"/>
    <n v="42"/>
    <x v="17"/>
    <x v="1"/>
    <x v="13"/>
    <x v="9"/>
    <x v="1"/>
  </r>
  <r>
    <x v="21"/>
    <n v="1860"/>
    <n v="3220"/>
    <n v="1360"/>
    <x v="11"/>
    <x v="1"/>
    <x v="14"/>
    <x v="10"/>
    <x v="2"/>
  </r>
  <r>
    <x v="22"/>
    <n v="880"/>
    <n v="1350"/>
    <n v="470"/>
    <x v="18"/>
    <x v="0"/>
    <x v="9"/>
    <x v="5"/>
    <x v="1"/>
  </r>
  <r>
    <x v="23"/>
    <n v="1650"/>
    <n v="2150"/>
    <n v="500"/>
    <x v="19"/>
    <x v="0"/>
    <x v="1"/>
    <x v="11"/>
    <x v="1"/>
  </r>
  <r>
    <x v="24"/>
    <n v="2048"/>
    <n v="4500"/>
    <n v="2452"/>
    <x v="20"/>
    <x v="1"/>
    <x v="3"/>
    <x v="12"/>
    <x v="1"/>
  </r>
  <r>
    <x v="25"/>
    <n v="420"/>
    <n v="647"/>
    <n v="227"/>
    <x v="18"/>
    <x v="0"/>
    <x v="15"/>
    <x v="2"/>
    <x v="0"/>
  </r>
  <r>
    <x v="26"/>
    <n v="2880"/>
    <n v="3520"/>
    <n v="640"/>
    <x v="21"/>
    <x v="2"/>
    <x v="7"/>
    <x v="6"/>
    <x v="1"/>
  </r>
  <r>
    <x v="27"/>
    <n v="1350"/>
    <n v="1990"/>
    <n v="640"/>
    <x v="22"/>
    <x v="0"/>
    <x v="13"/>
    <x v="6"/>
    <x v="1"/>
  </r>
  <r>
    <x v="28"/>
    <n v="1758"/>
    <n v="2499"/>
    <n v="741"/>
    <x v="23"/>
    <x v="0"/>
    <x v="16"/>
    <x v="1"/>
    <x v="1"/>
  </r>
  <r>
    <x v="29"/>
    <n v="2200"/>
    <n v="4080"/>
    <n v="1880"/>
    <x v="14"/>
    <x v="1"/>
    <x v="14"/>
    <x v="13"/>
    <x v="2"/>
  </r>
  <r>
    <x v="30"/>
    <n v="185"/>
    <n v="382"/>
    <n v="197"/>
    <x v="24"/>
    <x v="1"/>
    <x v="10"/>
    <x v="12"/>
    <x v="1"/>
  </r>
  <r>
    <x v="31"/>
    <n v="980"/>
    <n v="1490"/>
    <n v="510"/>
    <x v="10"/>
    <x v="0"/>
    <x v="7"/>
    <x v="3"/>
    <x v="0"/>
  </r>
  <r>
    <x v="32"/>
    <n v="1820"/>
    <n v="3490"/>
    <n v="1670"/>
    <x v="25"/>
    <x v="1"/>
    <x v="10"/>
    <x v="12"/>
    <x v="1"/>
  </r>
  <r>
    <x v="33"/>
    <n v="1940"/>
    <n v="2650"/>
    <n v="710"/>
    <x v="26"/>
    <x v="0"/>
    <x v="16"/>
    <x v="3"/>
    <x v="0"/>
  </r>
  <r>
    <x v="34"/>
    <n v="1980"/>
    <n v="2699"/>
    <n v="719"/>
    <x v="26"/>
    <x v="0"/>
    <x v="17"/>
    <x v="0"/>
    <x v="0"/>
  </r>
  <r>
    <x v="35"/>
    <n v="1620"/>
    <n v="2690"/>
    <n v="1070"/>
    <x v="27"/>
    <x v="0"/>
    <x v="18"/>
    <x v="8"/>
    <x v="0"/>
  </r>
  <r>
    <x v="36"/>
    <n v="171"/>
    <n v="360"/>
    <n v="189"/>
    <x v="17"/>
    <x v="1"/>
    <x v="0"/>
    <x v="8"/>
    <x v="0"/>
  </r>
  <r>
    <x v="37"/>
    <n v="389"/>
    <n v="656"/>
    <n v="267"/>
    <x v="28"/>
    <x v="1"/>
    <x v="19"/>
    <x v="12"/>
    <x v="1"/>
  </r>
  <r>
    <x v="38"/>
    <n v="1980"/>
    <n v="3200"/>
    <n v="1220"/>
    <x v="0"/>
    <x v="0"/>
    <x v="0"/>
    <x v="0"/>
    <x v="0"/>
  </r>
  <r>
    <x v="39"/>
    <n v="2750"/>
    <n v="4471"/>
    <n v="1721"/>
    <x v="0"/>
    <x v="0"/>
    <x v="14"/>
    <x v="13"/>
    <x v="2"/>
  </r>
  <r>
    <x v="40"/>
    <n v="475"/>
    <n v="931"/>
    <n v="456"/>
    <x v="15"/>
    <x v="1"/>
    <x v="14"/>
    <x v="13"/>
    <x v="2"/>
  </r>
  <r>
    <x v="41"/>
    <n v="238"/>
    <n v="476"/>
    <n v="238"/>
    <x v="29"/>
    <x v="1"/>
    <x v="14"/>
    <x v="13"/>
    <x v="2"/>
  </r>
  <r>
    <x v="42"/>
    <n v="610"/>
    <n v="1060"/>
    <n v="450"/>
    <x v="11"/>
    <x v="1"/>
    <x v="14"/>
    <x v="13"/>
    <x v="2"/>
  </r>
  <r>
    <x v="43"/>
    <n v="2132"/>
    <n v="2169"/>
    <n v="37"/>
    <x v="30"/>
    <x v="2"/>
    <x v="14"/>
    <x v="13"/>
    <x v="2"/>
  </r>
  <r>
    <x v="44"/>
    <n v="999"/>
    <n v="2000"/>
    <n v="1001"/>
    <x v="29"/>
    <x v="1"/>
    <x v="14"/>
    <x v="13"/>
    <x v="2"/>
  </r>
  <r>
    <x v="45"/>
    <n v="1190"/>
    <n v="1785"/>
    <n v="595"/>
    <x v="12"/>
    <x v="0"/>
    <x v="14"/>
    <x v="13"/>
    <x v="2"/>
  </r>
  <r>
    <x v="46"/>
    <n v="671"/>
    <n v="1316"/>
    <n v="645"/>
    <x v="15"/>
    <x v="1"/>
    <x v="14"/>
    <x v="13"/>
    <x v="2"/>
  </r>
  <r>
    <x v="47"/>
    <n v="1200"/>
    <n v="1950"/>
    <n v="750"/>
    <x v="0"/>
    <x v="0"/>
    <x v="14"/>
    <x v="13"/>
    <x v="2"/>
  </r>
  <r>
    <x v="48"/>
    <n v="199"/>
    <n v="504"/>
    <n v="305"/>
    <x v="31"/>
    <x v="1"/>
    <x v="14"/>
    <x v="13"/>
    <x v="2"/>
  </r>
  <r>
    <x v="49"/>
    <n v="299"/>
    <n v="600"/>
    <n v="301"/>
    <x v="29"/>
    <x v="1"/>
    <x v="14"/>
    <x v="13"/>
    <x v="2"/>
  </r>
  <r>
    <x v="50"/>
    <n v="1660"/>
    <n v="1699"/>
    <n v="39"/>
    <x v="30"/>
    <x v="2"/>
    <x v="14"/>
    <x v="13"/>
    <x v="2"/>
  </r>
  <r>
    <x v="51"/>
    <n v="299"/>
    <n v="384"/>
    <n v="85"/>
    <x v="32"/>
    <x v="0"/>
    <x v="14"/>
    <x v="13"/>
    <x v="2"/>
  </r>
  <r>
    <x v="52"/>
    <n v="1459"/>
    <n v="1499"/>
    <n v="40"/>
    <x v="33"/>
    <x v="2"/>
    <x v="14"/>
    <x v="13"/>
    <x v="2"/>
  </r>
  <r>
    <x v="53"/>
    <n v="799"/>
    <n v="1343"/>
    <n v="544"/>
    <x v="28"/>
    <x v="1"/>
    <x v="14"/>
    <x v="13"/>
    <x v="2"/>
  </r>
  <r>
    <x v="54"/>
    <n v="499"/>
    <n v="900"/>
    <n v="401"/>
    <x v="8"/>
    <x v="1"/>
    <x v="14"/>
    <x v="13"/>
    <x v="2"/>
  </r>
  <r>
    <x v="55"/>
    <n v="699"/>
    <n v="1343"/>
    <n v="644"/>
    <x v="25"/>
    <x v="1"/>
    <x v="14"/>
    <x v="13"/>
    <x v="2"/>
  </r>
  <r>
    <x v="56"/>
    <n v="799"/>
    <n v="1567"/>
    <n v="768"/>
    <x v="15"/>
    <x v="1"/>
    <x v="14"/>
    <x v="13"/>
    <x v="2"/>
  </r>
  <r>
    <x v="57"/>
    <n v="2799"/>
    <n v="3810"/>
    <n v="1011"/>
    <x v="26"/>
    <x v="0"/>
    <x v="14"/>
    <x v="13"/>
    <x v="2"/>
  </r>
  <r>
    <x v="58"/>
    <n v="2170"/>
    <n v="2500"/>
    <n v="330"/>
    <x v="34"/>
    <x v="2"/>
    <x v="9"/>
    <x v="14"/>
    <x v="2"/>
  </r>
  <r>
    <x v="59"/>
    <n v="458"/>
    <n v="986"/>
    <n v="528"/>
    <x v="20"/>
    <x v="1"/>
    <x v="20"/>
    <x v="15"/>
    <x v="1"/>
  </r>
  <r>
    <x v="60"/>
    <n v="2115"/>
    <n v="4700"/>
    <n v="2585"/>
    <x v="7"/>
    <x v="1"/>
    <x v="13"/>
    <x v="16"/>
    <x v="2"/>
  </r>
  <r>
    <x v="61"/>
    <n v="445"/>
    <n v="873"/>
    <n v="428"/>
    <x v="15"/>
    <x v="1"/>
    <x v="21"/>
    <x v="17"/>
    <x v="2"/>
  </r>
  <r>
    <x v="62"/>
    <n v="325"/>
    <n v="680"/>
    <n v="355"/>
    <x v="24"/>
    <x v="1"/>
    <x v="5"/>
    <x v="18"/>
    <x v="2"/>
  </r>
  <r>
    <x v="63"/>
    <n v="1220"/>
    <n v="1555"/>
    <n v="335"/>
    <x v="32"/>
    <x v="0"/>
    <x v="22"/>
    <x v="19"/>
    <x v="2"/>
  </r>
  <r>
    <x v="64"/>
    <n v="990"/>
    <n v="1814"/>
    <n v="824"/>
    <x v="8"/>
    <x v="1"/>
    <x v="9"/>
    <x v="20"/>
    <x v="2"/>
  </r>
  <r>
    <x v="65"/>
    <n v="1000"/>
    <n v="2000"/>
    <n v="1000"/>
    <x v="29"/>
    <x v="1"/>
    <x v="3"/>
    <x v="21"/>
    <x v="2"/>
  </r>
  <r>
    <x v="66"/>
    <n v="3750"/>
    <n v="6143"/>
    <n v="2393"/>
    <x v="35"/>
    <x v="0"/>
    <x v="4"/>
    <x v="15"/>
    <x v="1"/>
  </r>
  <r>
    <x v="67"/>
    <n v="382"/>
    <n v="700"/>
    <n v="318"/>
    <x v="8"/>
    <x v="1"/>
    <x v="23"/>
    <x v="22"/>
    <x v="2"/>
  </r>
  <r>
    <x v="68"/>
    <n v="2300"/>
    <n v="3240"/>
    <n v="940"/>
    <x v="36"/>
    <x v="0"/>
    <x v="4"/>
    <x v="15"/>
    <x v="1"/>
  </r>
  <r>
    <x v="69"/>
    <n v="345"/>
    <n v="602"/>
    <n v="257"/>
    <x v="37"/>
    <x v="1"/>
    <x v="9"/>
    <x v="21"/>
    <x v="2"/>
  </r>
  <r>
    <x v="70"/>
    <n v="509"/>
    <n v="899"/>
    <n v="390"/>
    <x v="37"/>
    <x v="1"/>
    <x v="4"/>
    <x v="15"/>
    <x v="1"/>
  </r>
  <r>
    <x v="71"/>
    <n v="968"/>
    <n v="1814"/>
    <n v="846"/>
    <x v="1"/>
    <x v="1"/>
    <x v="9"/>
    <x v="20"/>
    <x v="2"/>
  </r>
  <r>
    <x v="72"/>
    <n v="1570"/>
    <n v="2988"/>
    <n v="1418"/>
    <x v="1"/>
    <x v="1"/>
    <x v="3"/>
    <x v="16"/>
    <x v="2"/>
  </r>
  <r>
    <x v="73"/>
    <n v="790"/>
    <n v="1485"/>
    <n v="695"/>
    <x v="1"/>
    <x v="1"/>
    <x v="14"/>
    <x v="13"/>
    <x v="2"/>
  </r>
  <r>
    <x v="74"/>
    <n v="690"/>
    <n v="1200"/>
    <n v="510"/>
    <x v="37"/>
    <x v="1"/>
    <x v="14"/>
    <x v="13"/>
    <x v="2"/>
  </r>
  <r>
    <x v="75"/>
    <n v="1732"/>
    <n v="1799"/>
    <n v="67"/>
    <x v="38"/>
    <x v="2"/>
    <x v="14"/>
    <x v="13"/>
    <x v="2"/>
  </r>
  <r>
    <x v="76"/>
    <n v="230"/>
    <n v="450"/>
    <n v="220"/>
    <x v="15"/>
    <x v="1"/>
    <x v="14"/>
    <x v="13"/>
    <x v="2"/>
  </r>
  <r>
    <x v="77"/>
    <n v="1189"/>
    <n v="2199"/>
    <n v="1010"/>
    <x v="14"/>
    <x v="1"/>
    <x v="18"/>
    <x v="15"/>
    <x v="1"/>
  </r>
  <r>
    <x v="78"/>
    <n v="979"/>
    <n v="1920"/>
    <n v="941"/>
    <x v="15"/>
    <x v="1"/>
    <x v="18"/>
    <x v="8"/>
    <x v="0"/>
  </r>
  <r>
    <x v="79"/>
    <n v="1460"/>
    <n v="2290"/>
    <n v="830"/>
    <x v="39"/>
    <x v="0"/>
    <x v="14"/>
    <x v="13"/>
    <x v="2"/>
  </r>
  <r>
    <x v="80"/>
    <n v="1666"/>
    <n v="1699"/>
    <n v="33"/>
    <x v="30"/>
    <x v="2"/>
    <x v="14"/>
    <x v="13"/>
    <x v="2"/>
  </r>
  <r>
    <x v="81"/>
    <n v="330"/>
    <n v="647"/>
    <n v="317"/>
    <x v="15"/>
    <x v="1"/>
    <x v="18"/>
    <x v="5"/>
    <x v="1"/>
  </r>
  <r>
    <x v="82"/>
    <n v="1466"/>
    <n v="1699"/>
    <n v="233"/>
    <x v="40"/>
    <x v="2"/>
    <x v="14"/>
    <x v="13"/>
    <x v="2"/>
  </r>
  <r>
    <x v="83"/>
    <n v="274"/>
    <n v="537"/>
    <n v="263"/>
    <x v="15"/>
    <x v="1"/>
    <x v="14"/>
    <x v="13"/>
    <x v="2"/>
  </r>
  <r>
    <x v="84"/>
    <n v="799"/>
    <n v="900"/>
    <n v="101"/>
    <x v="41"/>
    <x v="2"/>
    <x v="14"/>
    <x v="13"/>
    <x v="2"/>
  </r>
  <r>
    <x v="85"/>
    <n v="1468"/>
    <n v="1699"/>
    <n v="231"/>
    <x v="40"/>
    <x v="2"/>
    <x v="14"/>
    <x v="13"/>
    <x v="2"/>
  </r>
  <r>
    <x v="86"/>
    <n v="630"/>
    <n v="1100"/>
    <n v="470"/>
    <x v="37"/>
    <x v="1"/>
    <x v="14"/>
    <x v="13"/>
    <x v="2"/>
  </r>
  <r>
    <x v="87"/>
    <n v="850"/>
    <n v="1700"/>
    <n v="850"/>
    <x v="29"/>
    <x v="1"/>
    <x v="14"/>
    <x v="13"/>
    <x v="2"/>
  </r>
  <r>
    <x v="88"/>
    <n v="1300"/>
    <n v="2500"/>
    <n v="1200"/>
    <x v="25"/>
    <x v="1"/>
    <x v="14"/>
    <x v="13"/>
    <x v="2"/>
  </r>
  <r>
    <x v="89"/>
    <n v="105"/>
    <n v="200"/>
    <n v="95"/>
    <x v="25"/>
    <x v="1"/>
    <x v="14"/>
    <x v="13"/>
    <x v="2"/>
  </r>
  <r>
    <x v="90"/>
    <n v="899"/>
    <n v="1699"/>
    <n v="800"/>
    <x v="1"/>
    <x v="1"/>
    <x v="14"/>
    <x v="13"/>
    <x v="2"/>
  </r>
  <r>
    <x v="91"/>
    <n v="1200"/>
    <n v="2400"/>
    <n v="1200"/>
    <x v="29"/>
    <x v="1"/>
    <x v="14"/>
    <x v="13"/>
    <x v="2"/>
  </r>
  <r>
    <x v="92"/>
    <n v="1526"/>
    <n v="1660"/>
    <n v="134"/>
    <x v="42"/>
    <x v="2"/>
    <x v="14"/>
    <x v="13"/>
    <x v="2"/>
  </r>
  <r>
    <x v="93"/>
    <n v="1462"/>
    <n v="1499"/>
    <n v="37"/>
    <x v="30"/>
    <x v="2"/>
    <x v="14"/>
    <x v="13"/>
    <x v="2"/>
  </r>
  <r>
    <x v="94"/>
    <n v="248"/>
    <n v="486"/>
    <n v="238"/>
    <x v="15"/>
    <x v="1"/>
    <x v="14"/>
    <x v="13"/>
    <x v="2"/>
  </r>
  <r>
    <x v="95"/>
    <n v="3546"/>
    <n v="3699"/>
    <n v="153"/>
    <x v="38"/>
    <x v="2"/>
    <x v="14"/>
    <x v="13"/>
    <x v="2"/>
  </r>
  <r>
    <x v="96"/>
    <n v="525"/>
    <n v="1029"/>
    <n v="504"/>
    <x v="15"/>
    <x v="1"/>
    <x v="14"/>
    <x v="13"/>
    <x v="2"/>
  </r>
  <r>
    <x v="97"/>
    <n v="1080"/>
    <n v="1874"/>
    <n v="794"/>
    <x v="11"/>
    <x v="1"/>
    <x v="14"/>
    <x v="13"/>
    <x v="2"/>
  </r>
  <r>
    <x v="98"/>
    <n v="3640"/>
    <n v="4588"/>
    <n v="948"/>
    <x v="43"/>
    <x v="0"/>
    <x v="18"/>
    <x v="8"/>
    <x v="0"/>
  </r>
  <r>
    <x v="99"/>
    <n v="1420"/>
    <n v="2420"/>
    <n v="1000"/>
    <x v="28"/>
    <x v="1"/>
    <x v="14"/>
    <x v="13"/>
    <x v="2"/>
  </r>
  <r>
    <x v="100"/>
    <n v="1875"/>
    <n v="1899"/>
    <n v="24"/>
    <x v="44"/>
    <x v="2"/>
    <x v="14"/>
    <x v="13"/>
    <x v="2"/>
  </r>
  <r>
    <x v="101"/>
    <n v="198"/>
    <n v="260"/>
    <n v="62"/>
    <x v="6"/>
    <x v="0"/>
    <x v="14"/>
    <x v="13"/>
    <x v="2"/>
  </r>
  <r>
    <x v="102"/>
    <n v="1150"/>
    <n v="1737"/>
    <n v="587"/>
    <x v="10"/>
    <x v="0"/>
    <x v="14"/>
    <x v="13"/>
    <x v="2"/>
  </r>
  <r>
    <x v="103"/>
    <n v="1190"/>
    <n v="1810"/>
    <n v="620"/>
    <x v="10"/>
    <x v="0"/>
    <x v="14"/>
    <x v="13"/>
    <x v="2"/>
  </r>
  <r>
    <x v="104"/>
    <n v="1658"/>
    <n v="1699"/>
    <n v="41"/>
    <x v="30"/>
    <x v="2"/>
    <x v="14"/>
    <x v="13"/>
    <x v="2"/>
  </r>
  <r>
    <x v="105"/>
    <n v="1768"/>
    <n v="1799"/>
    <n v="31"/>
    <x v="30"/>
    <x v="2"/>
    <x v="14"/>
    <x v="13"/>
    <x v="2"/>
  </r>
  <r>
    <x v="106"/>
    <n v="199"/>
    <n v="553"/>
    <n v="354"/>
    <x v="45"/>
    <x v="1"/>
    <x v="14"/>
    <x v="13"/>
    <x v="2"/>
  </r>
  <r>
    <x v="107"/>
    <n v="450"/>
    <n v="900"/>
    <n v="450"/>
    <x v="29"/>
    <x v="1"/>
    <x v="18"/>
    <x v="23"/>
    <x v="2"/>
  </r>
  <r>
    <x v="108"/>
    <n v="169"/>
    <n v="320"/>
    <n v="151"/>
    <x v="1"/>
    <x v="1"/>
    <x v="14"/>
    <x v="1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970F8A-3847-4F0C-AF9F-6CBDE82879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pivotFields>
  <rowFields count="1">
    <field x="5"/>
  </rowFields>
  <rowItems count="4">
    <i>
      <x/>
    </i>
    <i>
      <x v="1"/>
    </i>
    <i>
      <x v="2"/>
    </i>
    <i t="grand">
      <x/>
    </i>
  </rowItems>
  <colFields count="1">
    <field x="-2"/>
  </colFields>
  <colItems count="2">
    <i>
      <x/>
    </i>
    <i i="1">
      <x v="1"/>
    </i>
  </colItems>
  <dataFields count="2">
    <dataField name="Average of Ratingd" fld="7" subtotal="average" baseField="5" baseItem="0" numFmtId="2"/>
    <dataField name="Average of Discount" fld="4" subtotal="average" baseField="5" baseItem="0" numFmtId="9"/>
  </dataFields>
  <formats count="2">
    <format dxfId="6">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08F8F2-A822-44E1-9FF7-CA4AEC5E12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pivotField numFmtId="1" showAll="0">
      <items count="10">
        <item x="0"/>
        <item x="1"/>
        <item x="2"/>
        <item x="3"/>
        <item x="4"/>
        <item x="5"/>
        <item x="6"/>
        <item x="7"/>
        <item x="8"/>
        <item t="default"/>
      </items>
    </pivotField>
    <pivotField showAll="0">
      <items count="25">
        <item x="13"/>
        <item x="23"/>
        <item x="16"/>
        <item x="20"/>
        <item x="21"/>
        <item x="14"/>
        <item x="22"/>
        <item x="18"/>
        <item x="17"/>
        <item x="19"/>
        <item x="15"/>
        <item x="9"/>
        <item x="6"/>
        <item x="5"/>
        <item x="1"/>
        <item x="7"/>
        <item x="12"/>
        <item x="11"/>
        <item x="0"/>
        <item x="2"/>
        <item x="3"/>
        <item x="4"/>
        <item x="8"/>
        <item x="10"/>
        <item t="default"/>
      </items>
    </pivotField>
    <pivotField axis="axisRow" showAll="0">
      <items count="4">
        <item sd="0" x="1"/>
        <item sd="0" x="0"/>
        <item sd="0" x="2"/>
        <item t="default"/>
      </items>
    </pivotField>
  </pivotFields>
  <rowFields count="1">
    <field x="8"/>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07661-235A-445F-95F2-7DC38EB8A8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9">
    <pivotField showAll="0"/>
    <pivotField numFmtId="1" showAll="0"/>
    <pivotField numFmtId="1" showAll="0"/>
    <pivotField numFmtId="1"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pivotFields>
  <rowFields count="1">
    <field x="6"/>
  </rowFields>
  <rowItems count="8">
    <i>
      <x v="1"/>
    </i>
    <i>
      <x v="2"/>
    </i>
    <i>
      <x v="3"/>
    </i>
    <i>
      <x v="4"/>
    </i>
    <i>
      <x v="5"/>
    </i>
    <i>
      <x v="6"/>
    </i>
    <i>
      <x v="7"/>
    </i>
    <i t="grand">
      <x/>
    </i>
  </rowItems>
  <colItems count="1">
    <i/>
  </colItems>
  <dataFields count="1">
    <dataField name="Average of Ratingd" fld="7" subtotal="average" baseField="6"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84C341-66A4-4470-865D-1DD9869624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9">
    <pivotField showAll="0"/>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axis="axisRow" numFmtId="1" showAll="0">
      <items count="10">
        <item x="0"/>
        <item x="1"/>
        <item x="2"/>
        <item x="3"/>
        <item x="4"/>
        <item x="5"/>
        <item x="6"/>
        <item x="7"/>
        <item x="8"/>
        <item t="default"/>
      </items>
    </pivotField>
    <pivotField showAll="0"/>
    <pivotField showAll="0"/>
  </pivotFields>
  <rowFields count="1">
    <field x="6"/>
  </rowFields>
  <rowItems count="8">
    <i>
      <x v="1"/>
    </i>
    <i>
      <x v="2"/>
    </i>
    <i>
      <x v="3"/>
    </i>
    <i>
      <x v="4"/>
    </i>
    <i>
      <x v="5"/>
    </i>
    <i>
      <x v="6"/>
    </i>
    <i>
      <x v="7"/>
    </i>
    <i t="grand">
      <x/>
    </i>
  </rowItems>
  <colItems count="1">
    <i/>
  </colItems>
  <dataFields count="1">
    <dataField name="Average of Discount" fld="4" subtotal="average" baseField="6" baseItem="1" numFmtId="9"/>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03A1F-203D-4532-9C26-D102DCE50B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9">
    <pivotField showAll="0"/>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pivotFields>
  <rowFields count="1">
    <field x="6"/>
  </rowFields>
  <rowItems count="8">
    <i>
      <x v="1"/>
    </i>
    <i>
      <x v="2"/>
    </i>
    <i>
      <x v="3"/>
    </i>
    <i>
      <x v="4"/>
    </i>
    <i>
      <x v="5"/>
    </i>
    <i>
      <x v="6"/>
    </i>
    <i>
      <x v="7"/>
    </i>
    <i t="grand">
      <x/>
    </i>
  </rowItems>
  <colItems count="1">
    <i/>
  </colItems>
  <dataFields count="1">
    <dataField name="Count of Ratingd" fld="7" subtotal="count"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10ED97-2BEB-40B4-A4A5-7A4F3D3B5B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9">
    <pivotField showAll="0"/>
    <pivotField numFmtId="1" showAll="0"/>
    <pivotField numFmtId="1" showAll="0"/>
    <pivotField numFmtId="1" showAll="0"/>
    <pivotField numFmtId="9" showAll="0"/>
    <pivotField showAll="0"/>
    <pivotField axis="axisRow"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axis="axisRow" showAll="0">
      <items count="4">
        <item x="1"/>
        <item x="0"/>
        <item x="2"/>
        <item t="default"/>
      </items>
    </pivotField>
  </pivotFields>
  <rowFields count="2">
    <field x="6"/>
    <field x="8"/>
  </rowFields>
  <rowItems count="21">
    <i>
      <x v="1"/>
    </i>
    <i r="1">
      <x/>
    </i>
    <i r="1">
      <x v="1"/>
    </i>
    <i r="1">
      <x v="2"/>
    </i>
    <i>
      <x v="2"/>
    </i>
    <i r="1">
      <x/>
    </i>
    <i r="1">
      <x v="1"/>
    </i>
    <i r="1">
      <x v="2"/>
    </i>
    <i>
      <x v="3"/>
    </i>
    <i r="1">
      <x/>
    </i>
    <i r="1">
      <x v="1"/>
    </i>
    <i>
      <x v="4"/>
    </i>
    <i r="1">
      <x/>
    </i>
    <i r="1">
      <x v="1"/>
    </i>
    <i>
      <x v="5"/>
    </i>
    <i r="1">
      <x v="1"/>
    </i>
    <i>
      <x v="6"/>
    </i>
    <i r="1">
      <x v="1"/>
    </i>
    <i>
      <x v="7"/>
    </i>
    <i r="1">
      <x v="2"/>
    </i>
    <i t="grand">
      <x/>
    </i>
  </rowItems>
  <colItems count="1">
    <i/>
  </colItems>
  <dataFields count="1">
    <dataField name="Count of Ratingd" fld="7" subtotal="count"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74961-8D0C-455E-862B-702B68C2F9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pivotField numFmtId="1" showAll="0"/>
    <pivotField showAll="0"/>
    <pivotField showAll="0"/>
  </pivotFields>
  <rowFields count="1">
    <field x="0"/>
  </rowFields>
  <rowItems count="11">
    <i>
      <x v="20"/>
    </i>
    <i>
      <x v="30"/>
    </i>
    <i>
      <x v="31"/>
    </i>
    <i>
      <x v="52"/>
    </i>
    <i>
      <x v="53"/>
    </i>
    <i>
      <x v="60"/>
    </i>
    <i>
      <x v="64"/>
    </i>
    <i>
      <x v="67"/>
    </i>
    <i>
      <x v="70"/>
    </i>
    <i>
      <x v="84"/>
    </i>
    <i t="grand">
      <x/>
    </i>
  </rowItems>
  <colItems count="1">
    <i/>
  </colItems>
  <dataFields count="1">
    <dataField name="Max of Discount" fld="4" subtotal="max" baseField="0" baseItem="20" numFmtId="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11792-93F0-4C6E-9474-1E9AF1F499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pivotField dataField="1" numFmtId="1" showAll="0">
      <items count="10">
        <item x="0"/>
        <item x="1"/>
        <item x="2"/>
        <item x="3"/>
        <item x="4"/>
        <item x="5"/>
        <item x="6"/>
        <item x="7"/>
        <item x="8"/>
        <item t="default"/>
      </items>
    </pivotField>
    <pivotField showAll="0"/>
    <pivotField showAll="0"/>
  </pivotFields>
  <rowFields count="1">
    <field x="0"/>
  </rowFields>
  <rowItems count="11">
    <i>
      <x v="1"/>
    </i>
    <i>
      <x v="5"/>
    </i>
    <i>
      <x v="8"/>
    </i>
    <i>
      <x v="18"/>
    </i>
    <i>
      <x v="26"/>
    </i>
    <i>
      <x v="27"/>
    </i>
    <i>
      <x v="28"/>
    </i>
    <i>
      <x v="59"/>
    </i>
    <i>
      <x v="91"/>
    </i>
    <i>
      <x v="95"/>
    </i>
    <i t="grand">
      <x/>
    </i>
  </rowItems>
  <colItems count="1">
    <i/>
  </colItems>
  <dataFields count="1">
    <dataField name="Max of Review" fld="6" subtotal="max" baseField="0" baseItem="2"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4C50F6-8AF1-447E-8957-312C156E05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9">
    <pivotField axis="axisRow" showAll="0" measureFilter="1">
      <items count="110">
        <item x="70"/>
        <item x="3"/>
        <item x="69"/>
        <item x="85"/>
        <item x="107"/>
        <item x="92"/>
        <item x="87"/>
        <item x="63"/>
        <item x="105"/>
        <item x="54"/>
        <item x="104"/>
        <item x="43"/>
        <item x="89"/>
        <item x="37"/>
        <item x="88"/>
        <item x="26"/>
        <item x="93"/>
        <item x="2"/>
        <item x="4"/>
        <item x="51"/>
        <item x="50"/>
        <item x="16"/>
        <item x="84"/>
        <item x="82"/>
        <item x="59"/>
        <item x="52"/>
        <item x="29"/>
        <item x="86"/>
        <item x="14"/>
        <item x="41"/>
        <item x="95"/>
        <item x="1"/>
        <item x="77"/>
        <item x="18"/>
        <item x="102"/>
        <item x="22"/>
        <item x="32"/>
        <item x="39"/>
        <item x="8"/>
        <item x="13"/>
        <item x="17"/>
        <item x="24"/>
        <item x="68"/>
        <item x="98"/>
        <item x="62"/>
        <item x="81"/>
        <item x="10"/>
        <item x="23"/>
        <item x="30"/>
        <item x="25"/>
        <item x="72"/>
        <item x="35"/>
        <item x="7"/>
        <item x="53"/>
        <item x="75"/>
        <item x="48"/>
        <item x="36"/>
        <item x="55"/>
        <item x="44"/>
        <item x="103"/>
        <item x="83"/>
        <item x="46"/>
        <item x="49"/>
        <item x="108"/>
        <item x="78"/>
        <item x="42"/>
        <item x="96"/>
        <item x="64"/>
        <item x="15"/>
        <item x="56"/>
        <item x="67"/>
        <item x="99"/>
        <item x="97"/>
        <item x="71"/>
        <item x="76"/>
        <item x="45"/>
        <item x="90"/>
        <item x="106"/>
        <item x="60"/>
        <item x="79"/>
        <item x="33"/>
        <item x="34"/>
        <item x="28"/>
        <item x="58"/>
        <item x="21"/>
        <item x="40"/>
        <item x="12"/>
        <item x="94"/>
        <item x="20"/>
        <item x="74"/>
        <item x="19"/>
        <item x="65"/>
        <item x="66"/>
        <item x="73"/>
        <item x="47"/>
        <item x="91"/>
        <item x="100"/>
        <item x="5"/>
        <item x="80"/>
        <item x="101"/>
        <item x="6"/>
        <item x="9"/>
        <item x="57"/>
        <item x="61"/>
        <item x="31"/>
        <item x="27"/>
        <item x="0"/>
        <item x="11"/>
        <item x="38"/>
        <item t="default"/>
      </items>
    </pivotField>
    <pivotField numFmtId="1" showAll="0"/>
    <pivotField numFmtId="1" showAll="0"/>
    <pivotField numFmtId="1" showAll="0"/>
    <pivotField numFmtId="9" showAll="0"/>
    <pivotField showAll="0"/>
    <pivotField numFmtId="1" showAll="0"/>
    <pivotField dataField="1" showAll="0"/>
    <pivotField showAll="0"/>
  </pivotFields>
  <rowFields count="1">
    <field x="0"/>
  </rowFields>
  <rowItems count="8">
    <i>
      <x v="21"/>
    </i>
    <i>
      <x v="40"/>
    </i>
    <i>
      <x v="43"/>
    </i>
    <i>
      <x v="51"/>
    </i>
    <i>
      <x v="56"/>
    </i>
    <i>
      <x v="64"/>
    </i>
    <i>
      <x v="68"/>
    </i>
    <i t="grand">
      <x/>
    </i>
  </rowItems>
  <colItems count="1">
    <i/>
  </colItems>
  <dataFields count="1">
    <dataField name="Sum of Ratingd"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A8FD17-38DD-443A-B92E-F483801F60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6"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pivotField numFmtId="1" showAll="0"/>
    <pivotField dataField="1" showAll="0"/>
    <pivotField showAll="0"/>
  </pivotFields>
  <rowFields count="1">
    <field x="0"/>
  </rowFields>
  <rowItems count="53">
    <i>
      <x v="6"/>
    </i>
    <i>
      <x v="9"/>
    </i>
    <i>
      <x v="10"/>
    </i>
    <i>
      <x v="12"/>
    </i>
    <i>
      <x v="13"/>
    </i>
    <i>
      <x v="14"/>
    </i>
    <i>
      <x v="15"/>
    </i>
    <i>
      <x v="19"/>
    </i>
    <i>
      <x v="21"/>
    </i>
    <i>
      <x v="23"/>
    </i>
    <i>
      <x v="24"/>
    </i>
    <i>
      <x v="29"/>
    </i>
    <i>
      <x v="31"/>
    </i>
    <i>
      <x v="32"/>
    </i>
    <i>
      <x v="33"/>
    </i>
    <i>
      <x v="34"/>
    </i>
    <i>
      <x v="36"/>
    </i>
    <i>
      <x v="37"/>
    </i>
    <i>
      <x v="39"/>
    </i>
    <i>
      <x v="42"/>
    </i>
    <i>
      <x v="43"/>
    </i>
    <i>
      <x v="45"/>
    </i>
    <i>
      <x v="46"/>
    </i>
    <i>
      <x v="47"/>
    </i>
    <i>
      <x v="48"/>
    </i>
    <i>
      <x v="49"/>
    </i>
    <i>
      <x v="50"/>
    </i>
    <i>
      <x v="51"/>
    </i>
    <i>
      <x v="53"/>
    </i>
    <i>
      <x v="54"/>
    </i>
    <i>
      <x v="55"/>
    </i>
    <i>
      <x v="71"/>
    </i>
    <i>
      <x v="74"/>
    </i>
    <i>
      <x v="78"/>
    </i>
    <i>
      <x v="79"/>
    </i>
    <i>
      <x v="81"/>
    </i>
    <i>
      <x v="82"/>
    </i>
    <i>
      <x v="83"/>
    </i>
    <i>
      <x v="85"/>
    </i>
    <i>
      <x v="86"/>
    </i>
    <i>
      <x v="88"/>
    </i>
    <i>
      <x v="89"/>
    </i>
    <i>
      <x v="92"/>
    </i>
    <i>
      <x v="94"/>
    </i>
    <i>
      <x v="96"/>
    </i>
    <i>
      <x v="97"/>
    </i>
    <i>
      <x v="98"/>
    </i>
    <i>
      <x v="99"/>
    </i>
    <i>
      <x v="100"/>
    </i>
    <i>
      <x v="102"/>
    </i>
    <i>
      <x v="103"/>
    </i>
    <i>
      <x v="105"/>
    </i>
    <i t="grand">
      <x/>
    </i>
  </rowItems>
  <colItems count="1">
    <i/>
  </colItems>
  <dataFields count="1">
    <dataField name="Sum of Ratingd" fld="7"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ECD9D3-9C6B-4287-9EA0-19A21F2354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 showAll="0"/>
    <pivotField numFmtId="1" showAll="0"/>
    <pivotField numFmtId="1" showAll="0"/>
    <pivotField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 dataField="1"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h="1" x="10"/>
        <item t="default"/>
      </items>
    </pivotField>
    <pivotField showAll="0"/>
  </pivotFields>
  <rowFields count="1">
    <field x="5"/>
  </rowFields>
  <rowItems count="4">
    <i>
      <x/>
    </i>
    <i>
      <x v="1"/>
    </i>
    <i>
      <x v="2"/>
    </i>
    <i t="grand">
      <x/>
    </i>
  </rowItems>
  <colFields count="1">
    <field x="-2"/>
  </colFields>
  <colItems count="2">
    <i>
      <x/>
    </i>
    <i i="1">
      <x v="1"/>
    </i>
  </colItems>
  <dataFields count="2">
    <dataField name="Average of Ratingd" fld="7" subtotal="average" baseField="5" baseItem="0"/>
    <dataField name="Sum of Review" fld="6"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CCB958-A888-4E09-9907-43F9D9AA1C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9:Q43"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 numFmtId="1" showAll="0">
      <items count="10">
        <item x="0"/>
        <item x="1"/>
        <item x="2"/>
        <item x="3"/>
        <item x="4"/>
        <item x="5"/>
        <item x="6"/>
        <item x="7"/>
        <item x="8"/>
        <item t="default"/>
      </items>
    </pivotField>
    <pivotField dataField="1" showAll="0">
      <items count="25">
        <item x="13"/>
        <item x="23"/>
        <item x="16"/>
        <item x="20"/>
        <item x="21"/>
        <item x="14"/>
        <item x="22"/>
        <item x="18"/>
        <item x="17"/>
        <item x="19"/>
        <item x="15"/>
        <item x="9"/>
        <item x="6"/>
        <item x="5"/>
        <item x="1"/>
        <item x="7"/>
        <item x="12"/>
        <item x="11"/>
        <item x="0"/>
        <item x="2"/>
        <item x="3"/>
        <item x="4"/>
        <item x="8"/>
        <item x="10"/>
        <item t="default"/>
      </items>
    </pivotField>
    <pivotField showAll="0"/>
  </pivotFields>
  <rowFields count="1">
    <field x="5"/>
  </rowFields>
  <rowItems count="4">
    <i>
      <x/>
    </i>
    <i>
      <x v="1"/>
    </i>
    <i>
      <x v="2"/>
    </i>
    <i t="grand">
      <x/>
    </i>
  </rowItems>
  <colFields count="1">
    <field x="-2"/>
  </colFields>
  <colItems count="2">
    <i>
      <x/>
    </i>
    <i i="1">
      <x v="1"/>
    </i>
  </colItems>
  <dataFields count="2">
    <dataField name="Average of Ratingd" fld="7" subtotal="average" baseField="5" baseItem="0" numFmtId="2"/>
    <dataField name="Average of Discount" fld="4" subtotal="average" baseField="5" baseItem="0" numFmtId="9"/>
  </dataFields>
  <formats count="2">
    <format dxfId="3">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828561C7-3257-453B-AC9B-7538BA788089}" sourceName="Review">
  <pivotTables>
    <pivotTable tabId="20" name="PivotTable7"/>
  </pivotTables>
  <data>
    <tabular pivotCacheId="1278404383">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 xr10:uid="{FE5F05CD-1E02-44C4-87F2-08A095D601AB}" sourceName="Ratingd">
  <pivotTables>
    <pivotTable tabId="20" name="PivotTable7"/>
  </pivotTables>
  <data>
    <tabular pivotCacheId="1278404383">
      <items count="24">
        <i x="13" s="1"/>
        <i x="23" s="1"/>
        <i x="16" s="1"/>
        <i x="20" s="1"/>
        <i x="21" s="1"/>
        <i x="14" s="1"/>
        <i x="22" s="1"/>
        <i x="18" s="1"/>
        <i x="17" s="1"/>
        <i x="19" s="1"/>
        <i x="15" s="1"/>
        <i x="9" s="1"/>
        <i x="6" s="1"/>
        <i x="5" s="1"/>
        <i x="1" s="1"/>
        <i x="7" s="1"/>
        <i x="12" s="1"/>
        <i x="11" s="1"/>
        <i x="0" s="1"/>
        <i x="2" s="1"/>
        <i x="3" s="1"/>
        <i x="4" s="1"/>
        <i x="8" s="1"/>
        <i x="1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F42C93-BD13-4569-B01A-79F6B28456E7}" sourceName="Product">
  <pivotTables>
    <pivotTable tabId="3" name="PivotTable1"/>
    <pivotTable tabId="12" name="PivotTable1"/>
  </pivotTables>
  <data>
    <tabular pivotCacheId="1278404383">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273F6AF5-A179-4C1F-A5C7-11E9778B35AA}" sourceName="Discount">
  <pivotTables>
    <pivotTable tabId="3" name="PivotTable1"/>
    <pivotTable tabId="20" name="PivotTable7"/>
    <pivotTable tabId="7" name="PivotTable5"/>
    <pivotTable tabId="6" name="PivotTable4"/>
    <pivotTable tabId="15" name="PivotTable2"/>
    <pivotTable tabId="12" name="PivotTable1"/>
  </pivotTables>
  <data>
    <tabular pivotCacheId="1278404383">
      <items count="46">
        <i x="44" s="1"/>
        <i x="30" s="1"/>
        <i x="33" s="1"/>
        <i x="38" s="1"/>
        <i x="42" s="1"/>
        <i x="5" s="1"/>
        <i x="41" s="1"/>
        <i x="34" s="1"/>
        <i x="40" s="1"/>
        <i x="21" s="1"/>
        <i x="16" s="1"/>
        <i x="9" s="1"/>
        <i x="43" s="1"/>
        <i x="32" s="1"/>
        <i x="19" s="1"/>
        <i x="6" s="1"/>
        <i x="2" s="1"/>
        <i x="4" s="1"/>
        <i x="26" s="1"/>
        <i x="36" s="1"/>
        <i x="23" s="1"/>
        <i x="22" s="1"/>
        <i x="12" s="1"/>
        <i x="10" s="1"/>
        <i x="18" s="1"/>
        <i x="39" s="1"/>
        <i x="3" s="1"/>
        <i x="0" s="1"/>
        <i x="35" s="1"/>
        <i x="27" s="1"/>
        <i x="28" s="1"/>
        <i x="11" s="1"/>
        <i x="37" s="1"/>
        <i x="8" s="1"/>
        <i x="14" s="1"/>
        <i x="1" s="1"/>
        <i x="25" s="1"/>
        <i x="15" s="1"/>
        <i x="29" s="1"/>
        <i x="13" s="1"/>
        <i x="24" s="1"/>
        <i x="17" s="1"/>
        <i x="20" s="1"/>
        <i x="7" s="1"/>
        <i x="31" s="1"/>
        <i x="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d1" xr10:uid="{6F83EC87-C305-450F-AE10-F0FFC2477547}" sourceName="Ratingd">
  <pivotTables>
    <pivotTable tabId="3" name="PivotTable1"/>
    <pivotTable tabId="5" name="PivotTable3"/>
    <pivotTable tabId="9" name="PivotTable7"/>
    <pivotTable tabId="6" name="PivotTable4"/>
    <pivotTable tabId="8" name="PivotTable6"/>
    <pivotTable tabId="12" name="PivotTable1"/>
  </pivotTables>
  <data>
    <tabular pivotCacheId="1278404383">
      <items count="24">
        <i x="13" s="1"/>
        <i x="23" s="1"/>
        <i x="16" s="1"/>
        <i x="20" s="1"/>
        <i x="21" s="1"/>
        <i x="14" s="1"/>
        <i x="22" s="1"/>
        <i x="18" s="1"/>
        <i x="17" s="1"/>
        <i x="19" s="1"/>
        <i x="15" s="1"/>
        <i x="9" s="1"/>
        <i x="6" s="1"/>
        <i x="5" s="1"/>
        <i x="1" s="1"/>
        <i x="7" s="1"/>
        <i x="12" s="1"/>
        <i x="11" s="1"/>
        <i x="0" s="1"/>
        <i x="2" s="1"/>
        <i x="3" s="1"/>
        <i x="4" s="1"/>
        <i x="8" s="1"/>
        <i x="1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1" xr10:uid="{E2993725-9143-4056-84FE-36B26A4ADEF6}" sourceName="Review">
  <pivotTables>
    <pivotTable tabId="8" name="PivotTable6"/>
    <pivotTable tabId="5" name="PivotTable3"/>
    <pivotTable tabId="3" name="PivotTable1"/>
    <pivotTable tabId="7" name="PivotTable5"/>
    <pivotTable tabId="6" name="PivotTable4"/>
    <pivotTable tabId="17" name="PivotTable4"/>
    <pivotTable tabId="12" name="PivotTable1"/>
  </pivotTables>
  <data>
    <tabular pivotCacheId="1278404383">
      <items count="9">
        <i x="1" s="1"/>
        <i x="2" s="1"/>
        <i x="3" s="1"/>
        <i x="4" s="1"/>
        <i x="5" s="1"/>
        <i x="6" s="1"/>
        <i x="7" s="1"/>
        <i x="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A9BA58F-C265-4540-9FA9-0418A31813C6}" cache="Slicer_Product" caption="Product" rowHeight="241300"/>
  <slicer name="Discount" xr10:uid="{089C4DB3-F305-4651-B28E-36024573487C}" cache="Slicer_Discount" caption="Discount" startItem="39" rowHeight="241300"/>
  <slicer name="Ratingd 2" xr10:uid="{E2BAE14C-93D0-4145-B1CF-99070D9EB85F}" cache="Slicer_Ratingd1" caption="Ratingd" startItem="1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1" xr10:uid="{96A1CDB3-02A5-429D-96D0-A59012F252BB}" cache="Slicer_Review1" caption="Review"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8550F019-27FC-4AA5-A36A-54DEC05E2128}" cache="Slicer_Review" caption="Review" rowHeight="241300"/>
  <slicer name="Ratingd" xr10:uid="{FA09AB4C-8296-41D6-BCD4-08707A61CFA8}" cache="Slicer_Ratingd" caption="Ratingd" startItem="17"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1" xr10:uid="{7CF218FD-D85E-4CD4-83C6-0188148BDEB2}" cache="Slicer_Discount" caption="Discount" startItem="39" rowHeight="241300"/>
  <slicer name="Ratingd 3" xr10:uid="{F858D538-4E42-418B-B2B2-0A023CF0A548}" cache="Slicer_Ratingd1" caption="Ratingd" startItem="15" rowHeight="241300"/>
  <slicer name="Review 2" xr10:uid="{DD1536E0-BB07-48B3-805A-6D40A870FA47}" cache="Slicer_Review1" caption="Revie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A2C25E-860B-42FB-8953-A591484C136A}" name="Table1" displayName="Table1" ref="A1:I110" totalsRowShown="0">
  <autoFilter ref="A1:I110" xr:uid="{C8A2C25E-860B-42FB-8953-A591484C136A}"/>
  <tableColumns count="9">
    <tableColumn id="1" xr3:uid="{4256C25D-686E-47A0-9BE2-A2EC89B60D7A}" name="Product"/>
    <tableColumn id="2" xr3:uid="{F5F626E0-6404-400A-A317-A4449C037655}" name="Current price" dataDxfId="13"/>
    <tableColumn id="3" xr3:uid="{2DB51681-500A-4FEB-89D3-C4A73E2A2EEA}" name="old price" dataDxfId="12"/>
    <tableColumn id="4" xr3:uid="{CD517B94-BB95-41A1-B8EE-361C5A959439}" name="Discount amount(Ksh)" dataDxfId="11">
      <calculatedColumnFormula>C2 - B2</calculatedColumnFormula>
    </tableColumn>
    <tableColumn id="5" xr3:uid="{20BD49A1-77C7-473D-BEF8-49D299191D85}" name="Discount" dataDxfId="10"/>
    <tableColumn id="6" xr3:uid="{770B6BE2-9C14-4F7A-A34D-B6EA9A5165B0}" name="Discount category" dataDxfId="9">
      <calculatedColumnFormula>IF(E2&gt;40%, "high", IF(E2&gt;= 20%,"medium", "low"))</calculatedColumnFormula>
    </tableColumn>
    <tableColumn id="7" xr3:uid="{823DC479-8273-418E-A91A-22099F5D73E0}" name="Review" dataDxfId="8"/>
    <tableColumn id="8" xr3:uid="{42878C37-CF9E-415E-9D57-344DBC0106E7}" name="Ratingd" dataDxfId="7"/>
    <tableColumn id="9" xr3:uid="{F12C76E0-A0A4-4096-B7D5-3EC4A4384DD1}" name="Rating Category">
      <calculatedColumnFormula>IF(H2 &gt;=4.5, "excellent", IF(H2 &gt;=3, "average", "poor"))</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5AACA3-A5E9-433E-B245-92343D81702F}" name="Table2" displayName="Table2" ref="A3:I62" totalsRowShown="0">
  <autoFilter ref="A3:I62" xr:uid="{B25AACA3-A5E9-433E-B245-92343D81702F}"/>
  <tableColumns count="9">
    <tableColumn id="1" xr3:uid="{76FA5B81-B698-4D0A-B53A-19DC08B91937}" name="Product"/>
    <tableColumn id="2" xr3:uid="{6D227CE8-C94C-4D9D-9CAE-2CB6CF20C964}" name="Current price"/>
    <tableColumn id="3" xr3:uid="{C12E1E70-390B-47D6-86F2-908AFE151EC5}" name="old price"/>
    <tableColumn id="4" xr3:uid="{8B2FEA14-4AF6-4FE4-B542-A7F3AAFEEF05}" name="Discount amount(Ksh)"/>
    <tableColumn id="5" xr3:uid="{ECB973C6-64E5-48FF-A723-CE1855C2E128}" name="Discount"/>
    <tableColumn id="6" xr3:uid="{E948C607-1B7B-4EA5-97A7-FC43036558C0}" name="Discount category"/>
    <tableColumn id="7" xr3:uid="{54FFED2B-CB02-47D5-B4B1-DA53C6C636E2}" name="Review"/>
    <tableColumn id="8" xr3:uid="{B25D3B40-DB5D-42FC-BF11-94E48CD57920}" name="Ratingd"/>
    <tableColumn id="9" xr3:uid="{BB8095CB-864B-4E1C-9432-464F83600808}" name="Rating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C52B2-8B0F-4F19-83BF-7FF46BAB93CE}">
  <dimension ref="A3:C7"/>
  <sheetViews>
    <sheetView workbookViewId="0">
      <selection activeCell="C4" sqref="C4"/>
    </sheetView>
  </sheetViews>
  <sheetFormatPr defaultRowHeight="14.5" x14ac:dyDescent="0.35"/>
  <cols>
    <col min="1" max="1" width="12.36328125" bestFit="1" customWidth="1"/>
    <col min="2" max="2" width="16.6328125" style="13" bestFit="1" customWidth="1"/>
    <col min="3" max="3" width="17.7265625" bestFit="1" customWidth="1"/>
  </cols>
  <sheetData>
    <row r="3" spans="1:3" x14ac:dyDescent="0.35">
      <c r="A3" s="8" t="s">
        <v>119</v>
      </c>
      <c r="B3" s="13" t="s">
        <v>124</v>
      </c>
      <c r="C3" t="s">
        <v>125</v>
      </c>
    </row>
    <row r="4" spans="1:3" x14ac:dyDescent="0.35">
      <c r="A4" s="9" t="s">
        <v>120</v>
      </c>
      <c r="B4" s="13">
        <v>1.8689655172413788</v>
      </c>
      <c r="C4" s="1">
        <v>0.48203389830508458</v>
      </c>
    </row>
    <row r="5" spans="1:3" x14ac:dyDescent="0.35">
      <c r="A5" s="9" t="s">
        <v>121</v>
      </c>
      <c r="B5" s="13">
        <v>0.82777777777777772</v>
      </c>
      <c r="C5" s="1">
        <v>7.2222222222222243E-2</v>
      </c>
    </row>
    <row r="6" spans="1:3" x14ac:dyDescent="0.35">
      <c r="A6" s="9" t="s">
        <v>122</v>
      </c>
      <c r="B6" s="13">
        <v>3.0750000000000006</v>
      </c>
      <c r="C6" s="1">
        <v>0.30999999999999994</v>
      </c>
    </row>
    <row r="7" spans="1:3" x14ac:dyDescent="0.35">
      <c r="A7" s="9" t="s">
        <v>123</v>
      </c>
      <c r="B7" s="13">
        <v>2.0527777777777771</v>
      </c>
      <c r="C7" s="1">
        <v>0.36385321100917439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BF83-A581-428E-9090-3F4047A1A4E6}">
  <dimension ref="A3:B7"/>
  <sheetViews>
    <sheetView workbookViewId="0">
      <selection activeCell="A5" sqref="A5"/>
    </sheetView>
  </sheetViews>
  <sheetFormatPr defaultRowHeight="14.5" x14ac:dyDescent="0.35"/>
  <cols>
    <col min="1" max="1" width="12.36328125" bestFit="1" customWidth="1"/>
    <col min="2" max="2" width="15.26953125" bestFit="1" customWidth="1"/>
  </cols>
  <sheetData>
    <row r="3" spans="1:2" x14ac:dyDescent="0.35">
      <c r="A3" s="8" t="s">
        <v>119</v>
      </c>
      <c r="B3" t="s">
        <v>137</v>
      </c>
    </row>
    <row r="4" spans="1:2" x14ac:dyDescent="0.35">
      <c r="A4" s="9" t="s">
        <v>126</v>
      </c>
      <c r="B4" s="14">
        <v>22</v>
      </c>
    </row>
    <row r="5" spans="1:2" x14ac:dyDescent="0.35">
      <c r="A5" s="9" t="s">
        <v>127</v>
      </c>
      <c r="B5" s="14">
        <v>23</v>
      </c>
    </row>
    <row r="6" spans="1:2" x14ac:dyDescent="0.35">
      <c r="A6" s="9" t="s">
        <v>128</v>
      </c>
      <c r="B6" s="14">
        <v>64</v>
      </c>
    </row>
    <row r="7" spans="1:2" x14ac:dyDescent="0.35">
      <c r="A7" s="9" t="s">
        <v>123</v>
      </c>
      <c r="B7" s="14">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0371-B8CF-4665-A783-F9068977BB89}">
  <dimension ref="A3:B11"/>
  <sheetViews>
    <sheetView workbookViewId="0">
      <selection activeCell="B5" sqref="B5"/>
    </sheetView>
  </sheetViews>
  <sheetFormatPr defaultRowHeight="14.5" x14ac:dyDescent="0.35"/>
  <cols>
    <col min="1" max="1" width="12.36328125" bestFit="1" customWidth="1"/>
    <col min="2" max="2" width="16.6328125" bestFit="1" customWidth="1"/>
  </cols>
  <sheetData>
    <row r="3" spans="1:2" x14ac:dyDescent="0.35">
      <c r="A3" s="8" t="s">
        <v>119</v>
      </c>
      <c r="B3" t="s">
        <v>124</v>
      </c>
    </row>
    <row r="4" spans="1:2" x14ac:dyDescent="0.35">
      <c r="A4" s="11" t="s">
        <v>129</v>
      </c>
      <c r="B4" s="14">
        <v>1.5226190476190475</v>
      </c>
    </row>
    <row r="5" spans="1:2" x14ac:dyDescent="0.35">
      <c r="A5" s="11" t="s">
        <v>130</v>
      </c>
      <c r="B5" s="14">
        <v>3.5928571428571439</v>
      </c>
    </row>
    <row r="6" spans="1:2" x14ac:dyDescent="0.35">
      <c r="A6" s="11" t="s">
        <v>131</v>
      </c>
      <c r="B6" s="14">
        <v>4.4666666666666659</v>
      </c>
    </row>
    <row r="7" spans="1:2" x14ac:dyDescent="0.35">
      <c r="A7" s="11" t="s">
        <v>132</v>
      </c>
      <c r="B7" s="14">
        <v>4.5</v>
      </c>
    </row>
    <row r="8" spans="1:2" x14ac:dyDescent="0.35">
      <c r="A8" s="11" t="s">
        <v>133</v>
      </c>
      <c r="B8" s="14">
        <v>4.5999999999999996</v>
      </c>
    </row>
    <row r="9" spans="1:2" x14ac:dyDescent="0.35">
      <c r="A9" s="11" t="s">
        <v>134</v>
      </c>
      <c r="B9" s="14">
        <v>4.5999999999999996</v>
      </c>
    </row>
    <row r="10" spans="1:2" x14ac:dyDescent="0.35">
      <c r="A10" s="11" t="s">
        <v>135</v>
      </c>
      <c r="B10" s="14">
        <v>2.8</v>
      </c>
    </row>
    <row r="11" spans="1:2" x14ac:dyDescent="0.35">
      <c r="A11" s="11" t="s">
        <v>123</v>
      </c>
      <c r="B11" s="14">
        <v>2.0527777777777776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CBAC-3F8E-40DB-893A-9212BAB01765}">
  <dimension ref="A3:B11"/>
  <sheetViews>
    <sheetView topLeftCell="B1" workbookViewId="0">
      <selection activeCell="R5" sqref="R5"/>
    </sheetView>
  </sheetViews>
  <sheetFormatPr defaultRowHeight="14.5" x14ac:dyDescent="0.35"/>
  <cols>
    <col min="1" max="1" width="12.36328125" bestFit="1" customWidth="1"/>
    <col min="2" max="2" width="17.7265625" bestFit="1" customWidth="1"/>
  </cols>
  <sheetData>
    <row r="3" spans="1:2" x14ac:dyDescent="0.35">
      <c r="A3" s="8" t="s">
        <v>119</v>
      </c>
      <c r="B3" t="s">
        <v>125</v>
      </c>
    </row>
    <row r="4" spans="1:2" x14ac:dyDescent="0.35">
      <c r="A4" s="11" t="s">
        <v>129</v>
      </c>
      <c r="B4" s="1">
        <v>0.36635294117647044</v>
      </c>
    </row>
    <row r="5" spans="1:2" x14ac:dyDescent="0.35">
      <c r="A5" s="11" t="s">
        <v>130</v>
      </c>
      <c r="B5" s="1">
        <v>0.36499999999999994</v>
      </c>
    </row>
    <row r="6" spans="1:2" x14ac:dyDescent="0.35">
      <c r="A6" s="11" t="s">
        <v>131</v>
      </c>
      <c r="B6" s="1">
        <v>0.27333333333333337</v>
      </c>
    </row>
    <row r="7" spans="1:2" x14ac:dyDescent="0.35">
      <c r="A7" s="11" t="s">
        <v>132</v>
      </c>
      <c r="B7" s="1">
        <v>0.34</v>
      </c>
    </row>
    <row r="8" spans="1:2" x14ac:dyDescent="0.35">
      <c r="A8" s="11" t="s">
        <v>133</v>
      </c>
      <c r="B8" s="1">
        <v>0.42</v>
      </c>
    </row>
    <row r="9" spans="1:2" x14ac:dyDescent="0.35">
      <c r="A9" s="11" t="s">
        <v>134</v>
      </c>
      <c r="B9" s="1">
        <v>0.24</v>
      </c>
    </row>
    <row r="10" spans="1:2" x14ac:dyDescent="0.35">
      <c r="A10" s="11" t="s">
        <v>135</v>
      </c>
      <c r="B10" s="1">
        <v>0.49</v>
      </c>
    </row>
    <row r="11" spans="1:2" x14ac:dyDescent="0.35">
      <c r="A11" s="11" t="s">
        <v>123</v>
      </c>
      <c r="B11" s="1">
        <v>0.36385321100917428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7C92-46ED-41AA-B35A-6FE2ACF6E292}">
  <dimension ref="A3:B11"/>
  <sheetViews>
    <sheetView workbookViewId="0">
      <selection activeCell="B6" sqref="B6"/>
    </sheetView>
  </sheetViews>
  <sheetFormatPr defaultRowHeight="14.5" x14ac:dyDescent="0.35"/>
  <cols>
    <col min="1" max="1" width="12.36328125" bestFit="1" customWidth="1"/>
    <col min="2" max="2" width="15" bestFit="1" customWidth="1"/>
  </cols>
  <sheetData>
    <row r="3" spans="1:2" x14ac:dyDescent="0.35">
      <c r="A3" s="8" t="s">
        <v>119</v>
      </c>
      <c r="B3" t="s">
        <v>136</v>
      </c>
    </row>
    <row r="4" spans="1:2" x14ac:dyDescent="0.35">
      <c r="A4" s="11" t="s">
        <v>129</v>
      </c>
      <c r="B4" s="14">
        <v>84</v>
      </c>
    </row>
    <row r="5" spans="1:2" x14ac:dyDescent="0.35">
      <c r="A5" s="11" t="s">
        <v>130</v>
      </c>
      <c r="B5" s="14">
        <v>14</v>
      </c>
    </row>
    <row r="6" spans="1:2" x14ac:dyDescent="0.35">
      <c r="A6" s="11" t="s">
        <v>131</v>
      </c>
      <c r="B6" s="14">
        <v>3</v>
      </c>
    </row>
    <row r="7" spans="1:2" x14ac:dyDescent="0.35">
      <c r="A7" s="11" t="s">
        <v>132</v>
      </c>
      <c r="B7" s="14">
        <v>3</v>
      </c>
    </row>
    <row r="8" spans="1:2" x14ac:dyDescent="0.35">
      <c r="A8" s="11" t="s">
        <v>133</v>
      </c>
      <c r="B8" s="14">
        <v>2</v>
      </c>
    </row>
    <row r="9" spans="1:2" x14ac:dyDescent="0.35">
      <c r="A9" s="11" t="s">
        <v>134</v>
      </c>
      <c r="B9" s="14">
        <v>1</v>
      </c>
    </row>
    <row r="10" spans="1:2" x14ac:dyDescent="0.35">
      <c r="A10" s="11" t="s">
        <v>135</v>
      </c>
      <c r="B10" s="14">
        <v>1</v>
      </c>
    </row>
    <row r="11" spans="1:2" x14ac:dyDescent="0.35">
      <c r="A11" s="11" t="s">
        <v>123</v>
      </c>
      <c r="B11" s="14">
        <v>108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918A-C6F6-4F7A-B2D9-142437396919}">
  <dimension ref="A3:B24"/>
  <sheetViews>
    <sheetView workbookViewId="0">
      <selection activeCell="F13" sqref="F13"/>
    </sheetView>
  </sheetViews>
  <sheetFormatPr defaultRowHeight="14.5" x14ac:dyDescent="0.35"/>
  <cols>
    <col min="1" max="1" width="12.36328125" bestFit="1" customWidth="1"/>
    <col min="2" max="2" width="15" bestFit="1" customWidth="1"/>
  </cols>
  <sheetData>
    <row r="3" spans="1:2" x14ac:dyDescent="0.35">
      <c r="A3" s="8" t="s">
        <v>119</v>
      </c>
      <c r="B3" t="s">
        <v>136</v>
      </c>
    </row>
    <row r="4" spans="1:2" x14ac:dyDescent="0.35">
      <c r="A4" s="11" t="s">
        <v>129</v>
      </c>
      <c r="B4" s="14">
        <v>84</v>
      </c>
    </row>
    <row r="5" spans="1:2" x14ac:dyDescent="0.35">
      <c r="A5" s="10" t="s">
        <v>126</v>
      </c>
      <c r="B5" s="14">
        <v>12</v>
      </c>
    </row>
    <row r="6" spans="1:2" x14ac:dyDescent="0.35">
      <c r="A6" s="10" t="s">
        <v>127</v>
      </c>
      <c r="B6" s="14">
        <v>14</v>
      </c>
    </row>
    <row r="7" spans="1:2" x14ac:dyDescent="0.35">
      <c r="A7" s="10" t="s">
        <v>128</v>
      </c>
      <c r="B7" s="14">
        <v>58</v>
      </c>
    </row>
    <row r="8" spans="1:2" x14ac:dyDescent="0.35">
      <c r="A8" s="11" t="s">
        <v>130</v>
      </c>
      <c r="B8" s="14">
        <v>14</v>
      </c>
    </row>
    <row r="9" spans="1:2" x14ac:dyDescent="0.35">
      <c r="A9" s="10" t="s">
        <v>126</v>
      </c>
      <c r="B9" s="14">
        <v>8</v>
      </c>
    </row>
    <row r="10" spans="1:2" x14ac:dyDescent="0.35">
      <c r="A10" s="10" t="s">
        <v>127</v>
      </c>
      <c r="B10" s="14">
        <v>2</v>
      </c>
    </row>
    <row r="11" spans="1:2" x14ac:dyDescent="0.35">
      <c r="A11" s="10" t="s">
        <v>128</v>
      </c>
      <c r="B11" s="14">
        <v>4</v>
      </c>
    </row>
    <row r="12" spans="1:2" x14ac:dyDescent="0.35">
      <c r="A12" s="11" t="s">
        <v>131</v>
      </c>
      <c r="B12" s="14">
        <v>3</v>
      </c>
    </row>
    <row r="13" spans="1:2" x14ac:dyDescent="0.35">
      <c r="A13" s="10" t="s">
        <v>126</v>
      </c>
      <c r="B13" s="14">
        <v>1</v>
      </c>
    </row>
    <row r="14" spans="1:2" x14ac:dyDescent="0.35">
      <c r="A14" s="10" t="s">
        <v>127</v>
      </c>
      <c r="B14" s="14">
        <v>2</v>
      </c>
    </row>
    <row r="15" spans="1:2" x14ac:dyDescent="0.35">
      <c r="A15" s="11" t="s">
        <v>132</v>
      </c>
      <c r="B15" s="14">
        <v>3</v>
      </c>
    </row>
    <row r="16" spans="1:2" x14ac:dyDescent="0.35">
      <c r="A16" s="10" t="s">
        <v>126</v>
      </c>
      <c r="B16" s="14">
        <v>1</v>
      </c>
    </row>
    <row r="17" spans="1:2" x14ac:dyDescent="0.35">
      <c r="A17" s="10" t="s">
        <v>127</v>
      </c>
      <c r="B17" s="14">
        <v>2</v>
      </c>
    </row>
    <row r="18" spans="1:2" x14ac:dyDescent="0.35">
      <c r="A18" s="11" t="s">
        <v>133</v>
      </c>
      <c r="B18" s="14">
        <v>2</v>
      </c>
    </row>
    <row r="19" spans="1:2" x14ac:dyDescent="0.35">
      <c r="A19" s="10" t="s">
        <v>127</v>
      </c>
      <c r="B19" s="14">
        <v>2</v>
      </c>
    </row>
    <row r="20" spans="1:2" x14ac:dyDescent="0.35">
      <c r="A20" s="11" t="s">
        <v>134</v>
      </c>
      <c r="B20" s="14">
        <v>1</v>
      </c>
    </row>
    <row r="21" spans="1:2" x14ac:dyDescent="0.35">
      <c r="A21" s="10" t="s">
        <v>127</v>
      </c>
      <c r="B21" s="14">
        <v>1</v>
      </c>
    </row>
    <row r="22" spans="1:2" x14ac:dyDescent="0.35">
      <c r="A22" s="11" t="s">
        <v>135</v>
      </c>
      <c r="B22" s="14">
        <v>1</v>
      </c>
    </row>
    <row r="23" spans="1:2" x14ac:dyDescent="0.35">
      <c r="A23" s="10" t="s">
        <v>128</v>
      </c>
      <c r="B23" s="14">
        <v>1</v>
      </c>
    </row>
    <row r="24" spans="1:2" x14ac:dyDescent="0.35">
      <c r="A24" s="11" t="s">
        <v>123</v>
      </c>
      <c r="B24" s="14">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E0CE-7636-4DDE-84CD-6367B02B853F}">
  <dimension ref="A3:B14"/>
  <sheetViews>
    <sheetView topLeftCell="B1" workbookViewId="0">
      <selection activeCell="H16" sqref="H16"/>
    </sheetView>
  </sheetViews>
  <sheetFormatPr defaultRowHeight="14.5" x14ac:dyDescent="0.35"/>
  <cols>
    <col min="1" max="1" width="69.54296875" bestFit="1" customWidth="1"/>
    <col min="2" max="2" width="14.54296875" bestFit="1" customWidth="1"/>
  </cols>
  <sheetData>
    <row r="3" spans="1:2" x14ac:dyDescent="0.35">
      <c r="A3" s="8" t="s">
        <v>119</v>
      </c>
      <c r="B3" t="s">
        <v>138</v>
      </c>
    </row>
    <row r="4" spans="1:2" x14ac:dyDescent="0.35">
      <c r="A4" s="9" t="s">
        <v>26</v>
      </c>
      <c r="B4" s="1">
        <v>0.53</v>
      </c>
    </row>
    <row r="5" spans="1:2" x14ac:dyDescent="0.35">
      <c r="A5" s="9" t="s">
        <v>66</v>
      </c>
      <c r="B5" s="1">
        <v>0.55000000000000004</v>
      </c>
    </row>
    <row r="6" spans="1:2" x14ac:dyDescent="0.35">
      <c r="A6" s="9" t="s">
        <v>112</v>
      </c>
      <c r="B6" s="1">
        <v>0.64</v>
      </c>
    </row>
    <row r="7" spans="1:2" x14ac:dyDescent="0.35">
      <c r="A7" s="9" t="s">
        <v>42</v>
      </c>
      <c r="B7" s="1">
        <v>0.53</v>
      </c>
    </row>
    <row r="8" spans="1:2" x14ac:dyDescent="0.35">
      <c r="A8" s="9" t="s">
        <v>54</v>
      </c>
      <c r="B8" s="1">
        <v>0.61</v>
      </c>
    </row>
    <row r="9" spans="1:2" x14ac:dyDescent="0.35">
      <c r="A9" s="9" t="s">
        <v>36</v>
      </c>
      <c r="B9" s="1">
        <v>0.52</v>
      </c>
    </row>
    <row r="10" spans="1:2" x14ac:dyDescent="0.35">
      <c r="A10" s="9" t="s">
        <v>68</v>
      </c>
      <c r="B10" s="1">
        <v>0.52</v>
      </c>
    </row>
    <row r="11" spans="1:2" x14ac:dyDescent="0.35">
      <c r="A11" s="9" t="s">
        <v>30</v>
      </c>
      <c r="B11" s="1">
        <v>0.54</v>
      </c>
    </row>
    <row r="12" spans="1:2" x14ac:dyDescent="0.35">
      <c r="A12" s="9" t="s">
        <v>14</v>
      </c>
      <c r="B12" s="1">
        <v>0.55000000000000004</v>
      </c>
    </row>
    <row r="13" spans="1:2" x14ac:dyDescent="0.35">
      <c r="A13" s="9" t="s">
        <v>65</v>
      </c>
      <c r="B13" s="1">
        <v>0.54</v>
      </c>
    </row>
    <row r="14" spans="1:2" x14ac:dyDescent="0.35">
      <c r="A14" s="9" t="s">
        <v>123</v>
      </c>
      <c r="B14" s="1">
        <v>0.64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84AA-67A8-49A5-9508-2A9668546343}">
  <dimension ref="A3:B14"/>
  <sheetViews>
    <sheetView workbookViewId="0">
      <selection activeCell="B7" sqref="B7"/>
    </sheetView>
  </sheetViews>
  <sheetFormatPr defaultRowHeight="14.5" x14ac:dyDescent="0.35"/>
  <cols>
    <col min="1" max="1" width="61.453125" bestFit="1" customWidth="1"/>
    <col min="2" max="2" width="13.08984375" bestFit="1" customWidth="1"/>
  </cols>
  <sheetData>
    <row r="3" spans="1:2" x14ac:dyDescent="0.35">
      <c r="A3" s="8" t="s">
        <v>119</v>
      </c>
      <c r="B3" t="s">
        <v>139</v>
      </c>
    </row>
    <row r="4" spans="1:2" x14ac:dyDescent="0.35">
      <c r="A4" s="9" t="s">
        <v>17</v>
      </c>
      <c r="B4" s="4">
        <v>39</v>
      </c>
    </row>
    <row r="5" spans="1:2" x14ac:dyDescent="0.35">
      <c r="A5" s="9" t="s">
        <v>67</v>
      </c>
      <c r="B5" s="4">
        <v>69</v>
      </c>
    </row>
    <row r="6" spans="1:2" x14ac:dyDescent="0.35">
      <c r="A6" s="9" t="s">
        <v>12</v>
      </c>
      <c r="B6" s="4">
        <v>55</v>
      </c>
    </row>
    <row r="7" spans="1:2" x14ac:dyDescent="0.35">
      <c r="A7" s="9" t="s">
        <v>25</v>
      </c>
      <c r="B7" s="4">
        <v>44</v>
      </c>
    </row>
    <row r="8" spans="1:2" x14ac:dyDescent="0.35">
      <c r="A8" s="9" t="s">
        <v>34</v>
      </c>
      <c r="B8" s="4">
        <v>20</v>
      </c>
    </row>
    <row r="9" spans="1:2" x14ac:dyDescent="0.35">
      <c r="A9" s="9" t="s">
        <v>40</v>
      </c>
      <c r="B9" s="4">
        <v>32</v>
      </c>
    </row>
    <row r="10" spans="1:2" x14ac:dyDescent="0.35">
      <c r="A10" s="9" t="s">
        <v>39</v>
      </c>
      <c r="B10" s="4">
        <v>20</v>
      </c>
    </row>
    <row r="11" spans="1:2" x14ac:dyDescent="0.35">
      <c r="A11" s="9" t="s">
        <v>31</v>
      </c>
      <c r="B11" s="4">
        <v>49</v>
      </c>
    </row>
    <row r="12" spans="1:2" x14ac:dyDescent="0.35">
      <c r="A12" s="9" t="s">
        <v>8</v>
      </c>
      <c r="B12" s="4">
        <v>24</v>
      </c>
    </row>
    <row r="13" spans="1:2" x14ac:dyDescent="0.35">
      <c r="A13" s="9" t="s">
        <v>43</v>
      </c>
      <c r="B13" s="4">
        <v>36</v>
      </c>
    </row>
    <row r="14" spans="1:2" x14ac:dyDescent="0.35">
      <c r="A14" s="9" t="s">
        <v>123</v>
      </c>
      <c r="B14" s="4">
        <v>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F9D6-4733-4093-839A-FA34C8DD528B}">
  <dimension ref="A3:B11"/>
  <sheetViews>
    <sheetView topLeftCell="B1" workbookViewId="0">
      <selection activeCell="L3" sqref="L3"/>
    </sheetView>
  </sheetViews>
  <sheetFormatPr defaultRowHeight="14.5" x14ac:dyDescent="0.35"/>
  <cols>
    <col min="1" max="1" width="64.453125" bestFit="1" customWidth="1"/>
    <col min="2" max="2" width="13.54296875" bestFit="1" customWidth="1"/>
  </cols>
  <sheetData>
    <row r="3" spans="1:2" x14ac:dyDescent="0.35">
      <c r="A3" s="8" t="s">
        <v>119</v>
      </c>
      <c r="B3" t="s">
        <v>141</v>
      </c>
    </row>
    <row r="4" spans="1:2" x14ac:dyDescent="0.35">
      <c r="A4" s="9" t="s">
        <v>22</v>
      </c>
      <c r="B4">
        <v>5</v>
      </c>
    </row>
    <row r="5" spans="1:2" x14ac:dyDescent="0.35">
      <c r="A5" s="9" t="s">
        <v>23</v>
      </c>
      <c r="B5">
        <v>5</v>
      </c>
    </row>
    <row r="6" spans="1:2" x14ac:dyDescent="0.35">
      <c r="A6" s="9" t="s">
        <v>104</v>
      </c>
      <c r="B6">
        <v>5</v>
      </c>
    </row>
    <row r="7" spans="1:2" x14ac:dyDescent="0.35">
      <c r="A7" s="9" t="s">
        <v>41</v>
      </c>
      <c r="B7">
        <v>5</v>
      </c>
    </row>
    <row r="8" spans="1:2" x14ac:dyDescent="0.35">
      <c r="A8" s="9" t="s">
        <v>42</v>
      </c>
      <c r="B8">
        <v>5</v>
      </c>
    </row>
    <row r="9" spans="1:2" x14ac:dyDescent="0.35">
      <c r="A9" s="9" t="s">
        <v>84</v>
      </c>
      <c r="B9">
        <v>5</v>
      </c>
    </row>
    <row r="10" spans="1:2" x14ac:dyDescent="0.35">
      <c r="A10" s="9" t="s">
        <v>21</v>
      </c>
      <c r="B10">
        <v>5</v>
      </c>
    </row>
    <row r="11" spans="1:2" x14ac:dyDescent="0.35">
      <c r="A11" s="9" t="s">
        <v>123</v>
      </c>
      <c r="B11">
        <v>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4BF2-6C06-4192-A2C5-BD3094288D3D}">
  <dimension ref="A3:B56"/>
  <sheetViews>
    <sheetView workbookViewId="0">
      <selection activeCell="A3" sqref="A3"/>
    </sheetView>
  </sheetViews>
  <sheetFormatPr defaultRowHeight="14.5" x14ac:dyDescent="0.35"/>
  <cols>
    <col min="1" max="1" width="89.1796875" bestFit="1" customWidth="1"/>
    <col min="2" max="2" width="13.54296875" bestFit="1" customWidth="1"/>
  </cols>
  <sheetData>
    <row r="3" spans="1:2" x14ac:dyDescent="0.35">
      <c r="A3" s="8" t="s">
        <v>119</v>
      </c>
      <c r="B3" t="s">
        <v>141</v>
      </c>
    </row>
    <row r="4" spans="1:2" x14ac:dyDescent="0.35">
      <c r="A4" s="9" t="s">
        <v>63</v>
      </c>
      <c r="B4">
        <v>0</v>
      </c>
    </row>
    <row r="5" spans="1:2" x14ac:dyDescent="0.35">
      <c r="A5" s="9" t="s">
        <v>107</v>
      </c>
      <c r="B5">
        <v>0</v>
      </c>
    </row>
    <row r="6" spans="1:2" x14ac:dyDescent="0.35">
      <c r="A6" s="9" t="s">
        <v>86</v>
      </c>
      <c r="B6">
        <v>0</v>
      </c>
    </row>
    <row r="7" spans="1:2" x14ac:dyDescent="0.35">
      <c r="A7" s="9" t="s">
        <v>106</v>
      </c>
      <c r="B7">
        <v>0</v>
      </c>
    </row>
    <row r="8" spans="1:2" x14ac:dyDescent="0.35">
      <c r="A8" s="9" t="s">
        <v>97</v>
      </c>
      <c r="B8">
        <v>0</v>
      </c>
    </row>
    <row r="9" spans="1:2" x14ac:dyDescent="0.35">
      <c r="A9" s="9" t="s">
        <v>53</v>
      </c>
      <c r="B9">
        <v>0</v>
      </c>
    </row>
    <row r="10" spans="1:2" x14ac:dyDescent="0.35">
      <c r="A10" s="9" t="s">
        <v>79</v>
      </c>
      <c r="B10">
        <v>0</v>
      </c>
    </row>
    <row r="11" spans="1:2" x14ac:dyDescent="0.35">
      <c r="A11" s="9" t="s">
        <v>80</v>
      </c>
      <c r="B11">
        <v>0</v>
      </c>
    </row>
    <row r="12" spans="1:2" x14ac:dyDescent="0.35">
      <c r="A12" s="9" t="s">
        <v>100</v>
      </c>
      <c r="B12">
        <v>0</v>
      </c>
    </row>
    <row r="13" spans="1:2" x14ac:dyDescent="0.35">
      <c r="A13" s="9" t="s">
        <v>46</v>
      </c>
      <c r="B13">
        <v>0</v>
      </c>
    </row>
    <row r="14" spans="1:2" x14ac:dyDescent="0.35">
      <c r="A14" s="9" t="s">
        <v>27</v>
      </c>
    </row>
    <row r="15" spans="1:2" x14ac:dyDescent="0.35">
      <c r="A15" s="9" t="s">
        <v>85</v>
      </c>
      <c r="B15">
        <v>0</v>
      </c>
    </row>
    <row r="16" spans="1:2" x14ac:dyDescent="0.35">
      <c r="A16" s="9" t="s">
        <v>112</v>
      </c>
      <c r="B16">
        <v>0</v>
      </c>
    </row>
    <row r="17" spans="1:2" x14ac:dyDescent="0.35">
      <c r="A17" s="9" t="s">
        <v>96</v>
      </c>
      <c r="B17">
        <v>0</v>
      </c>
    </row>
    <row r="18" spans="1:2" x14ac:dyDescent="0.35">
      <c r="A18" s="9" t="s">
        <v>51</v>
      </c>
      <c r="B18">
        <v>0</v>
      </c>
    </row>
    <row r="19" spans="1:2" x14ac:dyDescent="0.35">
      <c r="A19" s="9" t="s">
        <v>82</v>
      </c>
      <c r="B19">
        <v>0</v>
      </c>
    </row>
    <row r="20" spans="1:2" x14ac:dyDescent="0.35">
      <c r="A20" s="9" t="s">
        <v>103</v>
      </c>
      <c r="B20">
        <v>0</v>
      </c>
    </row>
    <row r="21" spans="1:2" x14ac:dyDescent="0.35">
      <c r="A21" s="9" t="s">
        <v>105</v>
      </c>
      <c r="B21">
        <v>0</v>
      </c>
    </row>
    <row r="22" spans="1:2" x14ac:dyDescent="0.35">
      <c r="A22" s="9" t="s">
        <v>62</v>
      </c>
      <c r="B22">
        <v>0</v>
      </c>
    </row>
    <row r="23" spans="1:2" x14ac:dyDescent="0.35">
      <c r="A23" s="9" t="s">
        <v>102</v>
      </c>
      <c r="B23">
        <v>0</v>
      </c>
    </row>
    <row r="24" spans="1:2" x14ac:dyDescent="0.35">
      <c r="A24" s="9" t="s">
        <v>48</v>
      </c>
      <c r="B24">
        <v>0</v>
      </c>
    </row>
    <row r="25" spans="1:2" x14ac:dyDescent="0.35">
      <c r="A25" s="9" t="s">
        <v>114</v>
      </c>
      <c r="B25">
        <v>0</v>
      </c>
    </row>
    <row r="26" spans="1:2" x14ac:dyDescent="0.35">
      <c r="A26" s="9" t="s">
        <v>55</v>
      </c>
      <c r="B26">
        <v>0</v>
      </c>
    </row>
    <row r="27" spans="1:2" x14ac:dyDescent="0.35">
      <c r="A27" s="9" t="s">
        <v>52</v>
      </c>
      <c r="B27">
        <v>0</v>
      </c>
    </row>
    <row r="28" spans="1:2" x14ac:dyDescent="0.35">
      <c r="A28" s="9" t="s">
        <v>89</v>
      </c>
      <c r="B28">
        <v>0</v>
      </c>
    </row>
    <row r="29" spans="1:2" x14ac:dyDescent="0.35">
      <c r="A29" s="9" t="s">
        <v>109</v>
      </c>
      <c r="B29">
        <v>0</v>
      </c>
    </row>
    <row r="30" spans="1:2" x14ac:dyDescent="0.35">
      <c r="A30" s="9" t="s">
        <v>50</v>
      </c>
      <c r="B30">
        <v>0</v>
      </c>
    </row>
    <row r="31" spans="1:2" x14ac:dyDescent="0.35">
      <c r="A31" s="9" t="s">
        <v>61</v>
      </c>
      <c r="B31">
        <v>0</v>
      </c>
    </row>
    <row r="32" spans="1:2" x14ac:dyDescent="0.35">
      <c r="A32" s="9" t="s">
        <v>54</v>
      </c>
      <c r="B32">
        <v>0</v>
      </c>
    </row>
    <row r="33" spans="1:2" x14ac:dyDescent="0.35">
      <c r="A33" s="9" t="s">
        <v>81</v>
      </c>
      <c r="B33">
        <v>0</v>
      </c>
    </row>
    <row r="34" spans="1:2" x14ac:dyDescent="0.35">
      <c r="A34" s="9" t="s">
        <v>59</v>
      </c>
      <c r="B34">
        <v>0</v>
      </c>
    </row>
    <row r="35" spans="1:2" x14ac:dyDescent="0.35">
      <c r="A35" s="9" t="s">
        <v>45</v>
      </c>
      <c r="B35">
        <v>0</v>
      </c>
    </row>
    <row r="36" spans="1:2" x14ac:dyDescent="0.35">
      <c r="A36" s="9" t="s">
        <v>108</v>
      </c>
      <c r="B36">
        <v>0</v>
      </c>
    </row>
    <row r="37" spans="1:2" x14ac:dyDescent="0.35">
      <c r="A37" s="9" t="s">
        <v>101</v>
      </c>
      <c r="B37">
        <v>0</v>
      </c>
    </row>
    <row r="38" spans="1:2" x14ac:dyDescent="0.35">
      <c r="A38" s="9" t="s">
        <v>47</v>
      </c>
      <c r="B38">
        <v>0</v>
      </c>
    </row>
    <row r="39" spans="1:2" x14ac:dyDescent="0.35">
      <c r="A39" s="9" t="s">
        <v>92</v>
      </c>
      <c r="B39">
        <v>0</v>
      </c>
    </row>
    <row r="40" spans="1:2" x14ac:dyDescent="0.35">
      <c r="A40" s="9" t="s">
        <v>35</v>
      </c>
      <c r="B40">
        <v>0</v>
      </c>
    </row>
    <row r="41" spans="1:2" x14ac:dyDescent="0.35">
      <c r="A41" s="9" t="s">
        <v>58</v>
      </c>
      <c r="B41">
        <v>0</v>
      </c>
    </row>
    <row r="42" spans="1:2" x14ac:dyDescent="0.35">
      <c r="A42" s="9" t="s">
        <v>88</v>
      </c>
      <c r="B42">
        <v>0</v>
      </c>
    </row>
    <row r="43" spans="1:2" x14ac:dyDescent="0.35">
      <c r="A43" s="9" t="s">
        <v>90</v>
      </c>
      <c r="B43">
        <v>0</v>
      </c>
    </row>
    <row r="44" spans="1:2" x14ac:dyDescent="0.35">
      <c r="A44" s="9" t="s">
        <v>56</v>
      </c>
      <c r="B44">
        <v>0</v>
      </c>
    </row>
    <row r="45" spans="1:2" x14ac:dyDescent="0.35">
      <c r="A45" s="9" t="s">
        <v>57</v>
      </c>
      <c r="B45">
        <v>0</v>
      </c>
    </row>
    <row r="46" spans="1:2" x14ac:dyDescent="0.35">
      <c r="A46" s="9" t="s">
        <v>99</v>
      </c>
      <c r="B46">
        <v>0</v>
      </c>
    </row>
    <row r="47" spans="1:2" x14ac:dyDescent="0.35">
      <c r="A47" s="9" t="s">
        <v>94</v>
      </c>
      <c r="B47">
        <v>0</v>
      </c>
    </row>
    <row r="48" spans="1:2" x14ac:dyDescent="0.35">
      <c r="A48" s="9" t="s">
        <v>95</v>
      </c>
      <c r="B48">
        <v>0</v>
      </c>
    </row>
    <row r="49" spans="1:2" x14ac:dyDescent="0.35">
      <c r="A49" s="9" t="s">
        <v>49</v>
      </c>
      <c r="B49">
        <v>0</v>
      </c>
    </row>
    <row r="50" spans="1:2" x14ac:dyDescent="0.35">
      <c r="A50" s="9" t="s">
        <v>110</v>
      </c>
      <c r="B50">
        <v>0</v>
      </c>
    </row>
    <row r="51" spans="1:2" x14ac:dyDescent="0.35">
      <c r="A51" s="9" t="s">
        <v>60</v>
      </c>
      <c r="B51">
        <v>0</v>
      </c>
    </row>
    <row r="52" spans="1:2" x14ac:dyDescent="0.35">
      <c r="A52" s="9" t="s">
        <v>111</v>
      </c>
      <c r="B52">
        <v>0</v>
      </c>
    </row>
    <row r="53" spans="1:2" x14ac:dyDescent="0.35">
      <c r="A53" s="9" t="s">
        <v>93</v>
      </c>
      <c r="B53">
        <v>0</v>
      </c>
    </row>
    <row r="54" spans="1:2" x14ac:dyDescent="0.35">
      <c r="A54" s="9" t="s">
        <v>98</v>
      </c>
      <c r="B54">
        <v>0</v>
      </c>
    </row>
    <row r="55" spans="1:2" x14ac:dyDescent="0.35">
      <c r="A55" s="9" t="s">
        <v>91</v>
      </c>
      <c r="B55">
        <v>0</v>
      </c>
    </row>
    <row r="56" spans="1:2" x14ac:dyDescent="0.35">
      <c r="A56" s="9" t="s">
        <v>123</v>
      </c>
      <c r="B5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2390-A90A-4F88-A693-266C62316E28}">
  <dimension ref="A3:C7"/>
  <sheetViews>
    <sheetView workbookViewId="0">
      <selection activeCell="D13" sqref="D13"/>
    </sheetView>
  </sheetViews>
  <sheetFormatPr defaultRowHeight="14.5" x14ac:dyDescent="0.35"/>
  <cols>
    <col min="1" max="1" width="12.36328125" bestFit="1" customWidth="1"/>
    <col min="2" max="2" width="16.6328125" bestFit="1" customWidth="1"/>
    <col min="3" max="3" width="13.08984375" bestFit="1" customWidth="1"/>
  </cols>
  <sheetData>
    <row r="3" spans="1:3" x14ac:dyDescent="0.35">
      <c r="A3" s="8" t="s">
        <v>119</v>
      </c>
      <c r="B3" t="s">
        <v>124</v>
      </c>
      <c r="C3" t="s">
        <v>140</v>
      </c>
    </row>
    <row r="4" spans="1:3" x14ac:dyDescent="0.35">
      <c r="A4" s="9" t="s">
        <v>120</v>
      </c>
      <c r="B4" s="14">
        <v>1.8689655172413788</v>
      </c>
      <c r="C4" s="4">
        <v>334</v>
      </c>
    </row>
    <row r="5" spans="1:3" x14ac:dyDescent="0.35">
      <c r="A5" s="9" t="s">
        <v>121</v>
      </c>
      <c r="B5" s="14">
        <v>0.82777777777777772</v>
      </c>
      <c r="C5" s="4">
        <v>38</v>
      </c>
    </row>
    <row r="6" spans="1:3" x14ac:dyDescent="0.35">
      <c r="A6" s="9" t="s">
        <v>122</v>
      </c>
      <c r="B6" s="14">
        <v>3.0750000000000006</v>
      </c>
      <c r="C6" s="4">
        <v>351</v>
      </c>
    </row>
    <row r="7" spans="1:3" x14ac:dyDescent="0.35">
      <c r="A7" s="9" t="s">
        <v>123</v>
      </c>
      <c r="B7" s="14">
        <v>2.0527777777777771</v>
      </c>
      <c r="C7" s="4">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9853-10B6-493C-9721-0871F75170FC}">
  <dimension ref="A1:L116"/>
  <sheetViews>
    <sheetView workbookViewId="0">
      <pane ySplit="1" topLeftCell="A2" activePane="bottomLeft" state="frozen"/>
      <selection pane="bottomLeft" activeCell="F5" sqref="F5"/>
    </sheetView>
  </sheetViews>
  <sheetFormatPr defaultRowHeight="14.5" x14ac:dyDescent="0.35"/>
  <cols>
    <col min="1" max="1" width="28.453125" customWidth="1"/>
    <col min="2" max="3" width="18.36328125" style="4" bestFit="1" customWidth="1"/>
    <col min="4" max="4" width="21.54296875" style="4" customWidth="1"/>
    <col min="5" max="5" width="10.1796875" style="1" customWidth="1"/>
    <col min="6" max="6" width="17.81640625" style="1" customWidth="1"/>
    <col min="7" max="7" width="8.7265625" style="4" customWidth="1"/>
    <col min="8" max="8" width="10.26953125" style="6" bestFit="1" customWidth="1"/>
    <col min="9" max="9" width="16" customWidth="1"/>
  </cols>
  <sheetData>
    <row r="1" spans="1:12" s="2" customFormat="1" x14ac:dyDescent="0.35">
      <c r="A1" s="2" t="s">
        <v>0</v>
      </c>
      <c r="B1" s="3" t="s">
        <v>1</v>
      </c>
      <c r="C1" s="3" t="s">
        <v>2</v>
      </c>
      <c r="D1" s="3" t="s">
        <v>115</v>
      </c>
      <c r="E1" s="7" t="s">
        <v>3</v>
      </c>
      <c r="F1" s="7" t="s">
        <v>117</v>
      </c>
      <c r="G1" s="3" t="s">
        <v>4</v>
      </c>
      <c r="H1" s="5" t="s">
        <v>5</v>
      </c>
      <c r="I1" s="2" t="s">
        <v>116</v>
      </c>
    </row>
    <row r="2" spans="1:12" x14ac:dyDescent="0.35">
      <c r="A2" t="s">
        <v>6</v>
      </c>
      <c r="B2" s="4">
        <v>950</v>
      </c>
      <c r="C2" s="4">
        <v>1525</v>
      </c>
      <c r="D2" s="4">
        <f>C2 - B2</f>
        <v>575</v>
      </c>
      <c r="E2" s="1">
        <v>0.38</v>
      </c>
      <c r="F2" s="1" t="str">
        <f>IF(E2&gt;40%, "high", IF(E2&gt;= 20%,"medium", "low"))</f>
        <v>medium</v>
      </c>
      <c r="G2" s="4">
        <v>2</v>
      </c>
      <c r="H2" s="6">
        <v>4.5</v>
      </c>
      <c r="I2" t="str">
        <f>IF(H2 &gt;=4.5, "excellent", IF(H2 &gt;=3, "average", "poor"))</f>
        <v>excellent</v>
      </c>
      <c r="L2" t="s">
        <v>142</v>
      </c>
    </row>
    <row r="3" spans="1:12" x14ac:dyDescent="0.35">
      <c r="A3" t="s">
        <v>7</v>
      </c>
      <c r="B3" s="4">
        <v>527</v>
      </c>
      <c r="C3" s="4">
        <v>999</v>
      </c>
      <c r="D3" s="4">
        <f t="shared" ref="D3:D66" si="0">C3 - B3</f>
        <v>472</v>
      </c>
      <c r="E3" s="1">
        <v>0.47</v>
      </c>
      <c r="F3" s="1" t="str">
        <f t="shared" ref="F3:F66" si="1">IF(E3&gt;40%, "high", IF(E3&gt;= 20%,"medium", "low"))</f>
        <v>high</v>
      </c>
      <c r="G3" s="4">
        <v>14</v>
      </c>
      <c r="H3" s="6">
        <v>4.0999999999999996</v>
      </c>
      <c r="I3" t="str">
        <f t="shared" ref="I3:I66" si="2">IF(H3 &gt;=4.5, "excellent", IF(H3 &gt;=3, "average", "poor"))</f>
        <v>average</v>
      </c>
      <c r="L3" t="str">
        <f>INDEX(A2:A110,MATCH(MAX(B2:B110),B2:B110,0))</f>
        <v>32PCS Portable Cordless Drill Set With Cyclic Battery Drive -26 Variable Speed</v>
      </c>
    </row>
    <row r="4" spans="1:12" x14ac:dyDescent="0.35">
      <c r="A4" t="s">
        <v>8</v>
      </c>
      <c r="B4" s="4">
        <v>2199</v>
      </c>
      <c r="C4" s="4">
        <v>2923</v>
      </c>
      <c r="D4" s="4">
        <f t="shared" si="0"/>
        <v>724</v>
      </c>
      <c r="E4" s="1">
        <v>0.25</v>
      </c>
      <c r="F4" s="1" t="str">
        <f t="shared" si="1"/>
        <v>medium</v>
      </c>
      <c r="G4" s="4">
        <v>24</v>
      </c>
      <c r="H4" s="6">
        <v>4.5999999999999996</v>
      </c>
      <c r="I4" t="str">
        <f t="shared" si="2"/>
        <v>excellent</v>
      </c>
    </row>
    <row r="5" spans="1:12" x14ac:dyDescent="0.35">
      <c r="A5" t="s">
        <v>9</v>
      </c>
      <c r="B5" s="4">
        <v>1580</v>
      </c>
      <c r="C5" s="4">
        <v>2499</v>
      </c>
      <c r="D5" s="4">
        <f t="shared" si="0"/>
        <v>919</v>
      </c>
      <c r="E5" s="1">
        <v>0.37</v>
      </c>
      <c r="F5" s="1" t="str">
        <f t="shared" si="1"/>
        <v>medium</v>
      </c>
      <c r="G5" s="4">
        <v>7</v>
      </c>
      <c r="H5" s="6">
        <v>4.7</v>
      </c>
      <c r="I5" t="str">
        <f t="shared" si="2"/>
        <v>excellent</v>
      </c>
      <c r="L5" t="s">
        <v>143</v>
      </c>
    </row>
    <row r="6" spans="1:12" x14ac:dyDescent="0.35">
      <c r="A6" t="s">
        <v>10</v>
      </c>
      <c r="B6" s="4">
        <v>1740</v>
      </c>
      <c r="C6" s="4">
        <v>2356</v>
      </c>
      <c r="D6" s="4">
        <f t="shared" si="0"/>
        <v>616</v>
      </c>
      <c r="E6" s="1">
        <v>0.26</v>
      </c>
      <c r="F6" s="1" t="str">
        <f t="shared" si="1"/>
        <v>medium</v>
      </c>
      <c r="G6" s="4">
        <v>5</v>
      </c>
      <c r="H6" s="6">
        <v>4.8</v>
      </c>
      <c r="I6" t="str">
        <f t="shared" si="2"/>
        <v>excellent</v>
      </c>
      <c r="L6" t="str">
        <f>INDEX(A2:A110, MATCH(MIN(B2:B110), B2:B110,0))</f>
        <v>3PCS Single Head Knitting Crochet Sweater Needle Set</v>
      </c>
    </row>
    <row r="7" spans="1:12" x14ac:dyDescent="0.35">
      <c r="A7" t="s">
        <v>11</v>
      </c>
      <c r="B7" s="4">
        <v>2999</v>
      </c>
      <c r="C7" s="4">
        <v>3290</v>
      </c>
      <c r="D7" s="4">
        <f t="shared" si="0"/>
        <v>291</v>
      </c>
      <c r="E7" s="1">
        <v>0.09</v>
      </c>
      <c r="F7" s="1" t="str">
        <f t="shared" si="1"/>
        <v>low</v>
      </c>
      <c r="G7" s="4">
        <v>15</v>
      </c>
      <c r="H7" s="6">
        <v>4</v>
      </c>
      <c r="I7" t="str">
        <f t="shared" si="2"/>
        <v>average</v>
      </c>
    </row>
    <row r="8" spans="1:12" x14ac:dyDescent="0.35">
      <c r="A8" t="s">
        <v>12</v>
      </c>
      <c r="B8" s="4">
        <v>2319</v>
      </c>
      <c r="C8" s="4">
        <v>3032</v>
      </c>
      <c r="D8" s="4">
        <f t="shared" si="0"/>
        <v>713</v>
      </c>
      <c r="E8" s="1">
        <v>0.24</v>
      </c>
      <c r="F8" s="1" t="str">
        <f t="shared" si="1"/>
        <v>medium</v>
      </c>
      <c r="G8" s="4">
        <v>55</v>
      </c>
      <c r="H8" s="6">
        <v>4.5999999999999996</v>
      </c>
      <c r="I8" t="str">
        <f t="shared" si="2"/>
        <v>excellent</v>
      </c>
    </row>
    <row r="9" spans="1:12" x14ac:dyDescent="0.35">
      <c r="A9" t="s">
        <v>13</v>
      </c>
      <c r="B9" s="4">
        <v>988</v>
      </c>
      <c r="C9" s="4">
        <v>1580</v>
      </c>
      <c r="D9" s="4">
        <f t="shared" si="0"/>
        <v>592</v>
      </c>
      <c r="E9" s="1">
        <v>0.37</v>
      </c>
      <c r="F9" s="1" t="str">
        <f t="shared" si="1"/>
        <v>medium</v>
      </c>
      <c r="G9" s="4">
        <v>2</v>
      </c>
      <c r="H9" s="6">
        <v>4</v>
      </c>
      <c r="I9" t="str">
        <f t="shared" si="2"/>
        <v>average</v>
      </c>
    </row>
    <row r="10" spans="1:12" x14ac:dyDescent="0.35">
      <c r="A10" t="s">
        <v>14</v>
      </c>
      <c r="B10" s="4">
        <v>1274</v>
      </c>
      <c r="C10" s="4">
        <v>2800</v>
      </c>
      <c r="D10" s="4">
        <f t="shared" si="0"/>
        <v>1526</v>
      </c>
      <c r="E10" s="1">
        <v>0.55000000000000004</v>
      </c>
      <c r="F10" s="1" t="str">
        <f t="shared" si="1"/>
        <v>high</v>
      </c>
      <c r="G10" s="4">
        <v>5</v>
      </c>
      <c r="H10" s="6">
        <v>4.8</v>
      </c>
      <c r="I10" t="str">
        <f t="shared" si="2"/>
        <v>excellent</v>
      </c>
    </row>
    <row r="11" spans="1:12" x14ac:dyDescent="0.35">
      <c r="A11" t="s">
        <v>15</v>
      </c>
      <c r="B11" s="4">
        <v>1600</v>
      </c>
      <c r="C11" s="4">
        <v>2929</v>
      </c>
      <c r="D11" s="4">
        <f t="shared" si="0"/>
        <v>1329</v>
      </c>
      <c r="E11" s="1">
        <v>0.45</v>
      </c>
      <c r="F11" s="1" t="str">
        <f t="shared" si="1"/>
        <v>high</v>
      </c>
      <c r="G11" s="4">
        <v>5</v>
      </c>
      <c r="H11" s="6">
        <v>3.8</v>
      </c>
      <c r="I11" t="str">
        <f t="shared" si="2"/>
        <v>average</v>
      </c>
    </row>
    <row r="12" spans="1:12" x14ac:dyDescent="0.35">
      <c r="A12" t="s">
        <v>16</v>
      </c>
      <c r="B12" s="4">
        <v>799</v>
      </c>
      <c r="C12" s="4">
        <v>999</v>
      </c>
      <c r="D12" s="4">
        <f t="shared" si="0"/>
        <v>200</v>
      </c>
      <c r="E12" s="1">
        <v>0.2</v>
      </c>
      <c r="F12" s="1" t="str">
        <f t="shared" si="1"/>
        <v>medium</v>
      </c>
      <c r="G12" s="4">
        <v>12</v>
      </c>
      <c r="H12" s="6">
        <v>4.0999999999999996</v>
      </c>
      <c r="I12" t="str">
        <f t="shared" si="2"/>
        <v>average</v>
      </c>
    </row>
    <row r="13" spans="1:12" x14ac:dyDescent="0.35">
      <c r="A13" t="s">
        <v>17</v>
      </c>
      <c r="B13" s="4">
        <v>990</v>
      </c>
      <c r="C13" s="4">
        <v>1500</v>
      </c>
      <c r="D13" s="4">
        <f t="shared" si="0"/>
        <v>510</v>
      </c>
      <c r="E13" s="1">
        <v>0.34</v>
      </c>
      <c r="F13" s="1" t="str">
        <f t="shared" si="1"/>
        <v>medium</v>
      </c>
      <c r="G13" s="4">
        <v>39</v>
      </c>
      <c r="H13" s="6">
        <v>4.7</v>
      </c>
      <c r="I13" t="str">
        <f t="shared" si="2"/>
        <v>excellent</v>
      </c>
    </row>
    <row r="14" spans="1:12" x14ac:dyDescent="0.35">
      <c r="A14" t="s">
        <v>18</v>
      </c>
      <c r="B14" s="4">
        <v>552</v>
      </c>
      <c r="C14" s="4">
        <v>1035</v>
      </c>
      <c r="D14" s="4">
        <f t="shared" si="0"/>
        <v>483</v>
      </c>
      <c r="E14" s="1">
        <v>0.47</v>
      </c>
      <c r="F14" s="1" t="str">
        <f t="shared" si="1"/>
        <v>high</v>
      </c>
      <c r="G14" s="4">
        <v>12</v>
      </c>
      <c r="H14" s="6">
        <v>4.8</v>
      </c>
      <c r="I14" t="str">
        <f t="shared" si="2"/>
        <v>excellent</v>
      </c>
    </row>
    <row r="15" spans="1:12" x14ac:dyDescent="0.35">
      <c r="A15" t="s">
        <v>19</v>
      </c>
      <c r="B15" s="4">
        <v>501</v>
      </c>
      <c r="C15" s="4">
        <v>860</v>
      </c>
      <c r="D15" s="4">
        <f t="shared" si="0"/>
        <v>359</v>
      </c>
      <c r="E15" s="1">
        <v>0.42</v>
      </c>
      <c r="F15" s="1" t="str">
        <f t="shared" si="1"/>
        <v>high</v>
      </c>
      <c r="G15" s="4">
        <v>6</v>
      </c>
      <c r="H15" s="6">
        <v>4.5</v>
      </c>
      <c r="I15" t="str">
        <f t="shared" si="2"/>
        <v>excellent</v>
      </c>
    </row>
    <row r="16" spans="1:12" x14ac:dyDescent="0.35">
      <c r="A16" t="s">
        <v>20</v>
      </c>
      <c r="B16" s="4">
        <v>1680</v>
      </c>
      <c r="C16" s="4">
        <v>2499</v>
      </c>
      <c r="D16" s="4">
        <f t="shared" si="0"/>
        <v>819</v>
      </c>
      <c r="E16" s="1">
        <v>0.33</v>
      </c>
      <c r="F16" s="1" t="str">
        <f t="shared" si="1"/>
        <v>medium</v>
      </c>
      <c r="G16" s="4">
        <v>9</v>
      </c>
      <c r="H16" s="6">
        <v>4.2</v>
      </c>
      <c r="I16" t="str">
        <f t="shared" si="2"/>
        <v>average</v>
      </c>
    </row>
    <row r="17" spans="1:9" x14ac:dyDescent="0.35">
      <c r="A17" t="s">
        <v>21</v>
      </c>
      <c r="B17" s="4">
        <v>332</v>
      </c>
      <c r="C17" s="4">
        <v>684</v>
      </c>
      <c r="D17" s="4">
        <f t="shared" si="0"/>
        <v>352</v>
      </c>
      <c r="E17" s="1">
        <v>0.51</v>
      </c>
      <c r="F17" s="1" t="str">
        <f t="shared" si="1"/>
        <v>high</v>
      </c>
      <c r="G17" s="4">
        <v>2</v>
      </c>
      <c r="H17" s="6">
        <v>5</v>
      </c>
      <c r="I17" t="str">
        <f t="shared" si="2"/>
        <v>excellent</v>
      </c>
    </row>
    <row r="18" spans="1:9" x14ac:dyDescent="0.35">
      <c r="A18" t="s">
        <v>22</v>
      </c>
      <c r="B18" s="4">
        <v>195</v>
      </c>
      <c r="C18" s="4">
        <v>360</v>
      </c>
      <c r="D18" s="4">
        <f t="shared" si="0"/>
        <v>165</v>
      </c>
      <c r="E18" s="1">
        <v>0.46</v>
      </c>
      <c r="F18" s="1" t="str">
        <f t="shared" si="1"/>
        <v>high</v>
      </c>
      <c r="G18" s="4">
        <v>2</v>
      </c>
      <c r="H18" s="6">
        <v>5</v>
      </c>
      <c r="I18" t="str">
        <f t="shared" si="2"/>
        <v>excellent</v>
      </c>
    </row>
    <row r="19" spans="1:9" x14ac:dyDescent="0.35">
      <c r="A19" t="s">
        <v>23</v>
      </c>
      <c r="B19" s="4">
        <v>2025</v>
      </c>
      <c r="C19" s="4">
        <v>3971</v>
      </c>
      <c r="D19" s="4">
        <f t="shared" si="0"/>
        <v>1946</v>
      </c>
      <c r="E19" s="1">
        <v>0.49</v>
      </c>
      <c r="F19" s="1" t="str">
        <f t="shared" si="1"/>
        <v>high</v>
      </c>
      <c r="G19" s="4">
        <v>3</v>
      </c>
      <c r="H19" s="6">
        <v>5</v>
      </c>
      <c r="I19" t="str">
        <f t="shared" si="2"/>
        <v>excellent</v>
      </c>
    </row>
    <row r="20" spans="1:9" x14ac:dyDescent="0.35">
      <c r="A20" t="s">
        <v>24</v>
      </c>
      <c r="B20" s="4">
        <v>2999</v>
      </c>
      <c r="C20" s="4">
        <v>3699</v>
      </c>
      <c r="D20" s="4">
        <f t="shared" si="0"/>
        <v>700</v>
      </c>
      <c r="E20" s="1">
        <v>0.19</v>
      </c>
      <c r="F20" s="1" t="str">
        <f t="shared" si="1"/>
        <v>low</v>
      </c>
      <c r="G20" s="4">
        <v>5</v>
      </c>
      <c r="H20" s="6">
        <v>4.5999999999999996</v>
      </c>
      <c r="I20" t="str">
        <f t="shared" si="2"/>
        <v>excellent</v>
      </c>
    </row>
    <row r="21" spans="1:9" x14ac:dyDescent="0.35">
      <c r="A21" t="s">
        <v>25</v>
      </c>
      <c r="B21" s="4">
        <v>998</v>
      </c>
      <c r="C21" s="4">
        <v>1966</v>
      </c>
      <c r="D21" s="4">
        <f t="shared" si="0"/>
        <v>968</v>
      </c>
      <c r="E21" s="1">
        <v>0.49</v>
      </c>
      <c r="F21" s="1" t="str">
        <f t="shared" si="1"/>
        <v>high</v>
      </c>
      <c r="G21" s="4">
        <v>44</v>
      </c>
      <c r="H21" s="6">
        <v>4.5999999999999996</v>
      </c>
      <c r="I21" t="str">
        <f t="shared" si="2"/>
        <v>excellent</v>
      </c>
    </row>
    <row r="22" spans="1:9" x14ac:dyDescent="0.35">
      <c r="A22" t="s">
        <v>26</v>
      </c>
      <c r="B22" s="4">
        <v>38</v>
      </c>
      <c r="C22" s="4">
        <v>80</v>
      </c>
      <c r="D22" s="4">
        <f t="shared" si="0"/>
        <v>42</v>
      </c>
      <c r="E22" s="1">
        <v>0.53</v>
      </c>
      <c r="F22" s="1" t="str">
        <f t="shared" si="1"/>
        <v>high</v>
      </c>
      <c r="G22" s="4">
        <v>13</v>
      </c>
      <c r="H22" s="6">
        <v>3.3</v>
      </c>
      <c r="I22" t="str">
        <f t="shared" si="2"/>
        <v>average</v>
      </c>
    </row>
    <row r="23" spans="1:9" x14ac:dyDescent="0.35">
      <c r="A23" t="s">
        <v>27</v>
      </c>
      <c r="B23" s="4">
        <v>1860</v>
      </c>
      <c r="C23" s="4">
        <v>3220</v>
      </c>
      <c r="D23" s="4">
        <f t="shared" si="0"/>
        <v>1360</v>
      </c>
      <c r="E23" s="1">
        <v>0.42</v>
      </c>
      <c r="F23" s="1" t="str">
        <f t="shared" si="1"/>
        <v>high</v>
      </c>
      <c r="G23" s="4">
        <v>0</v>
      </c>
      <c r="H23" s="6">
        <v>0</v>
      </c>
      <c r="I23" t="str">
        <f t="shared" si="2"/>
        <v>poor</v>
      </c>
    </row>
    <row r="24" spans="1:9" x14ac:dyDescent="0.35">
      <c r="A24" t="s">
        <v>28</v>
      </c>
      <c r="B24" s="4">
        <v>880</v>
      </c>
      <c r="C24" s="4">
        <v>1350</v>
      </c>
      <c r="D24" s="4">
        <f t="shared" si="0"/>
        <v>470</v>
      </c>
      <c r="E24" s="1">
        <v>0.35</v>
      </c>
      <c r="F24" s="1" t="str">
        <f t="shared" si="1"/>
        <v>medium</v>
      </c>
      <c r="G24" s="4">
        <v>6</v>
      </c>
      <c r="H24" s="6">
        <v>4</v>
      </c>
      <c r="I24" t="str">
        <f t="shared" si="2"/>
        <v>average</v>
      </c>
    </row>
    <row r="25" spans="1:9" x14ac:dyDescent="0.35">
      <c r="A25" t="s">
        <v>29</v>
      </c>
      <c r="B25" s="4">
        <v>1650</v>
      </c>
      <c r="C25" s="4">
        <v>2150</v>
      </c>
      <c r="D25" s="4">
        <f t="shared" si="0"/>
        <v>500</v>
      </c>
      <c r="E25" s="1">
        <v>0.23</v>
      </c>
      <c r="F25" s="1" t="str">
        <f t="shared" si="1"/>
        <v>medium</v>
      </c>
      <c r="G25" s="4">
        <v>14</v>
      </c>
      <c r="H25" s="6">
        <v>4.4000000000000004</v>
      </c>
      <c r="I25" t="str">
        <f t="shared" si="2"/>
        <v>average</v>
      </c>
    </row>
    <row r="26" spans="1:9" x14ac:dyDescent="0.35">
      <c r="A26" t="s">
        <v>30</v>
      </c>
      <c r="B26" s="4">
        <v>2048</v>
      </c>
      <c r="C26" s="4">
        <v>4500</v>
      </c>
      <c r="D26" s="4">
        <f t="shared" si="0"/>
        <v>2452</v>
      </c>
      <c r="E26" s="1">
        <v>0.54</v>
      </c>
      <c r="F26" s="1" t="str">
        <f t="shared" si="1"/>
        <v>high</v>
      </c>
      <c r="G26" s="4">
        <v>7</v>
      </c>
      <c r="H26" s="6">
        <v>4.3</v>
      </c>
      <c r="I26" t="str">
        <f t="shared" si="2"/>
        <v>average</v>
      </c>
    </row>
    <row r="27" spans="1:9" x14ac:dyDescent="0.35">
      <c r="A27" t="s">
        <v>31</v>
      </c>
      <c r="B27" s="4">
        <v>420</v>
      </c>
      <c r="C27" s="4">
        <v>647</v>
      </c>
      <c r="D27" s="4">
        <f t="shared" si="0"/>
        <v>227</v>
      </c>
      <c r="E27" s="1">
        <v>0.35</v>
      </c>
      <c r="F27" s="1" t="str">
        <f t="shared" si="1"/>
        <v>medium</v>
      </c>
      <c r="G27" s="4">
        <v>49</v>
      </c>
      <c r="H27" s="6">
        <v>4.5999999999999996</v>
      </c>
      <c r="I27" t="str">
        <f t="shared" si="2"/>
        <v>excellent</v>
      </c>
    </row>
    <row r="28" spans="1:9" x14ac:dyDescent="0.35">
      <c r="A28" t="s">
        <v>32</v>
      </c>
      <c r="B28" s="4">
        <v>2880</v>
      </c>
      <c r="C28" s="4">
        <v>3520</v>
      </c>
      <c r="D28" s="4">
        <f t="shared" si="0"/>
        <v>640</v>
      </c>
      <c r="E28" s="1">
        <v>0.18</v>
      </c>
      <c r="F28" s="1" t="str">
        <f t="shared" si="1"/>
        <v>low</v>
      </c>
      <c r="G28" s="4">
        <v>12</v>
      </c>
      <c r="H28" s="6">
        <v>3.8</v>
      </c>
      <c r="I28" t="str">
        <f t="shared" si="2"/>
        <v>average</v>
      </c>
    </row>
    <row r="29" spans="1:9" x14ac:dyDescent="0.35">
      <c r="A29" t="s">
        <v>33</v>
      </c>
      <c r="B29" s="4">
        <v>1350</v>
      </c>
      <c r="C29" s="4">
        <v>1990</v>
      </c>
      <c r="D29" s="4">
        <f t="shared" si="0"/>
        <v>640</v>
      </c>
      <c r="E29" s="1">
        <v>0.32</v>
      </c>
      <c r="F29" s="1" t="str">
        <f t="shared" si="1"/>
        <v>medium</v>
      </c>
      <c r="G29" s="4">
        <v>13</v>
      </c>
      <c r="H29" s="6">
        <v>3.8</v>
      </c>
      <c r="I29" t="str">
        <f t="shared" si="2"/>
        <v>average</v>
      </c>
    </row>
    <row r="30" spans="1:9" x14ac:dyDescent="0.35">
      <c r="A30" t="s">
        <v>34</v>
      </c>
      <c r="B30" s="4">
        <v>1758</v>
      </c>
      <c r="C30" s="4">
        <v>2499</v>
      </c>
      <c r="D30" s="4">
        <f t="shared" si="0"/>
        <v>741</v>
      </c>
      <c r="E30" s="1">
        <v>0.3</v>
      </c>
      <c r="F30" s="1" t="str">
        <f t="shared" si="1"/>
        <v>medium</v>
      </c>
      <c r="G30" s="4">
        <v>20</v>
      </c>
      <c r="H30" s="6">
        <v>4.0999999999999996</v>
      </c>
      <c r="I30" t="str">
        <f t="shared" si="2"/>
        <v>average</v>
      </c>
    </row>
    <row r="31" spans="1:9" x14ac:dyDescent="0.35">
      <c r="A31" t="s">
        <v>35</v>
      </c>
      <c r="B31" s="4">
        <v>2200</v>
      </c>
      <c r="C31" s="4">
        <v>4080</v>
      </c>
      <c r="D31" s="4">
        <f t="shared" si="0"/>
        <v>1880</v>
      </c>
      <c r="E31" s="1">
        <v>0.46</v>
      </c>
      <c r="F31" s="1" t="str">
        <f t="shared" si="1"/>
        <v>high</v>
      </c>
      <c r="G31" s="4">
        <v>0</v>
      </c>
      <c r="H31" s="6">
        <v>0</v>
      </c>
      <c r="I31" t="str">
        <f t="shared" si="2"/>
        <v>poor</v>
      </c>
    </row>
    <row r="32" spans="1:9" x14ac:dyDescent="0.35">
      <c r="A32" t="s">
        <v>36</v>
      </c>
      <c r="B32" s="4">
        <v>185</v>
      </c>
      <c r="C32" s="4">
        <v>382</v>
      </c>
      <c r="D32" s="4">
        <f t="shared" si="0"/>
        <v>197</v>
      </c>
      <c r="E32" s="1">
        <v>0.52</v>
      </c>
      <c r="F32" s="1" t="str">
        <f t="shared" si="1"/>
        <v>high</v>
      </c>
      <c r="G32" s="4">
        <v>9</v>
      </c>
      <c r="H32" s="6">
        <v>4.3</v>
      </c>
      <c r="I32" t="str">
        <f t="shared" si="2"/>
        <v>average</v>
      </c>
    </row>
    <row r="33" spans="1:9" x14ac:dyDescent="0.35">
      <c r="A33" t="s">
        <v>37</v>
      </c>
      <c r="B33" s="4">
        <v>980</v>
      </c>
      <c r="C33" s="4">
        <v>1490</v>
      </c>
      <c r="D33" s="4">
        <f t="shared" si="0"/>
        <v>510</v>
      </c>
      <c r="E33" s="1">
        <v>0.34</v>
      </c>
      <c r="F33" s="1" t="str">
        <f t="shared" si="1"/>
        <v>medium</v>
      </c>
      <c r="G33" s="4">
        <v>12</v>
      </c>
      <c r="H33" s="6">
        <v>4.7</v>
      </c>
      <c r="I33" t="str">
        <f t="shared" si="2"/>
        <v>excellent</v>
      </c>
    </row>
    <row r="34" spans="1:9" x14ac:dyDescent="0.35">
      <c r="A34" t="s">
        <v>38</v>
      </c>
      <c r="B34" s="4">
        <v>1820</v>
      </c>
      <c r="C34" s="4">
        <v>3490</v>
      </c>
      <c r="D34" s="4">
        <f t="shared" si="0"/>
        <v>1670</v>
      </c>
      <c r="E34" s="1">
        <v>0.48</v>
      </c>
      <c r="F34" s="1" t="str">
        <f t="shared" si="1"/>
        <v>high</v>
      </c>
      <c r="G34" s="4">
        <v>9</v>
      </c>
      <c r="H34" s="6">
        <v>4.3</v>
      </c>
      <c r="I34" t="str">
        <f t="shared" si="2"/>
        <v>average</v>
      </c>
    </row>
    <row r="35" spans="1:9" x14ac:dyDescent="0.35">
      <c r="A35" t="s">
        <v>39</v>
      </c>
      <c r="B35" s="4">
        <v>1940</v>
      </c>
      <c r="C35" s="4">
        <v>2650</v>
      </c>
      <c r="D35" s="4">
        <f t="shared" si="0"/>
        <v>710</v>
      </c>
      <c r="E35" s="1">
        <v>0.27</v>
      </c>
      <c r="F35" s="1" t="str">
        <f t="shared" si="1"/>
        <v>medium</v>
      </c>
      <c r="G35" s="4">
        <v>20</v>
      </c>
      <c r="H35" s="6">
        <v>4.7</v>
      </c>
      <c r="I35" t="str">
        <f t="shared" si="2"/>
        <v>excellent</v>
      </c>
    </row>
    <row r="36" spans="1:9" x14ac:dyDescent="0.35">
      <c r="A36" t="s">
        <v>40</v>
      </c>
      <c r="B36" s="4">
        <v>1980</v>
      </c>
      <c r="C36" s="4">
        <v>2699</v>
      </c>
      <c r="D36" s="4">
        <f t="shared" si="0"/>
        <v>719</v>
      </c>
      <c r="E36" s="1">
        <v>0.27</v>
      </c>
      <c r="F36" s="1" t="str">
        <f t="shared" si="1"/>
        <v>medium</v>
      </c>
      <c r="G36" s="4">
        <v>32</v>
      </c>
      <c r="H36" s="6">
        <v>4.5</v>
      </c>
      <c r="I36" t="str">
        <f t="shared" si="2"/>
        <v>excellent</v>
      </c>
    </row>
    <row r="37" spans="1:9" x14ac:dyDescent="0.35">
      <c r="A37" t="s">
        <v>41</v>
      </c>
      <c r="B37" s="4">
        <v>1620</v>
      </c>
      <c r="C37" s="4">
        <v>2690</v>
      </c>
      <c r="D37" s="4">
        <f t="shared" si="0"/>
        <v>1070</v>
      </c>
      <c r="E37" s="1">
        <v>0.4</v>
      </c>
      <c r="F37" s="1" t="str">
        <f t="shared" si="1"/>
        <v>medium</v>
      </c>
      <c r="G37" s="4">
        <v>1</v>
      </c>
      <c r="H37" s="6">
        <v>5</v>
      </c>
      <c r="I37" t="str">
        <f t="shared" si="2"/>
        <v>excellent</v>
      </c>
    </row>
    <row r="38" spans="1:9" x14ac:dyDescent="0.35">
      <c r="A38" t="s">
        <v>42</v>
      </c>
      <c r="B38" s="4">
        <v>171</v>
      </c>
      <c r="C38" s="4">
        <v>360</v>
      </c>
      <c r="D38" s="4">
        <f t="shared" si="0"/>
        <v>189</v>
      </c>
      <c r="E38" s="1">
        <v>0.53</v>
      </c>
      <c r="F38" s="1" t="str">
        <f t="shared" si="1"/>
        <v>high</v>
      </c>
      <c r="G38" s="4">
        <v>2</v>
      </c>
      <c r="H38" s="6">
        <v>5</v>
      </c>
      <c r="I38" t="str">
        <f t="shared" si="2"/>
        <v>excellent</v>
      </c>
    </row>
    <row r="39" spans="1:9" x14ac:dyDescent="0.35">
      <c r="A39" t="s">
        <v>43</v>
      </c>
      <c r="B39" s="4">
        <v>389</v>
      </c>
      <c r="C39" s="4">
        <v>656</v>
      </c>
      <c r="D39" s="4">
        <f t="shared" si="0"/>
        <v>267</v>
      </c>
      <c r="E39" s="1">
        <v>0.41</v>
      </c>
      <c r="F39" s="1" t="str">
        <f t="shared" si="1"/>
        <v>high</v>
      </c>
      <c r="G39" s="4">
        <v>36</v>
      </c>
      <c r="H39" s="6">
        <v>4.3</v>
      </c>
      <c r="I39" t="str">
        <f t="shared" si="2"/>
        <v>average</v>
      </c>
    </row>
    <row r="40" spans="1:9" x14ac:dyDescent="0.35">
      <c r="A40" t="s">
        <v>44</v>
      </c>
      <c r="B40" s="4">
        <v>1980</v>
      </c>
      <c r="C40" s="4">
        <v>3200</v>
      </c>
      <c r="D40" s="4">
        <f t="shared" si="0"/>
        <v>1220</v>
      </c>
      <c r="E40" s="1">
        <v>0.38</v>
      </c>
      <c r="F40" s="1" t="str">
        <f t="shared" si="1"/>
        <v>medium</v>
      </c>
      <c r="G40" s="4">
        <v>2</v>
      </c>
      <c r="H40" s="6">
        <v>4.5</v>
      </c>
      <c r="I40" t="str">
        <f t="shared" si="2"/>
        <v>excellent</v>
      </c>
    </row>
    <row r="41" spans="1:9" x14ac:dyDescent="0.35">
      <c r="A41" t="s">
        <v>45</v>
      </c>
      <c r="B41" s="4">
        <v>2750</v>
      </c>
      <c r="C41" s="4">
        <v>4471</v>
      </c>
      <c r="D41" s="4">
        <f t="shared" si="0"/>
        <v>1721</v>
      </c>
      <c r="E41" s="1">
        <v>0.38</v>
      </c>
      <c r="F41" s="1" t="str">
        <f t="shared" si="1"/>
        <v>medium</v>
      </c>
      <c r="G41" s="4">
        <v>0</v>
      </c>
      <c r="H41" s="6">
        <v>0</v>
      </c>
      <c r="I41" t="str">
        <f t="shared" si="2"/>
        <v>poor</v>
      </c>
    </row>
    <row r="42" spans="1:9" x14ac:dyDescent="0.35">
      <c r="A42" t="s">
        <v>46</v>
      </c>
      <c r="B42" s="4">
        <v>475</v>
      </c>
      <c r="C42" s="4">
        <v>931</v>
      </c>
      <c r="D42" s="4">
        <f t="shared" si="0"/>
        <v>456</v>
      </c>
      <c r="E42" s="1">
        <v>0.49</v>
      </c>
      <c r="F42" s="1" t="str">
        <f t="shared" si="1"/>
        <v>high</v>
      </c>
      <c r="G42" s="4">
        <v>0</v>
      </c>
      <c r="H42" s="6">
        <v>0</v>
      </c>
      <c r="I42" t="str">
        <f t="shared" si="2"/>
        <v>poor</v>
      </c>
    </row>
    <row r="43" spans="1:9" x14ac:dyDescent="0.35">
      <c r="A43" t="s">
        <v>47</v>
      </c>
      <c r="B43" s="4">
        <v>238</v>
      </c>
      <c r="C43" s="4">
        <v>476</v>
      </c>
      <c r="D43" s="4">
        <f t="shared" si="0"/>
        <v>238</v>
      </c>
      <c r="E43" s="1">
        <v>0.5</v>
      </c>
      <c r="F43" s="1" t="str">
        <f t="shared" si="1"/>
        <v>high</v>
      </c>
      <c r="G43" s="4">
        <v>0</v>
      </c>
      <c r="H43" s="6">
        <v>0</v>
      </c>
      <c r="I43" t="str">
        <f t="shared" si="2"/>
        <v>poor</v>
      </c>
    </row>
    <row r="44" spans="1:9" x14ac:dyDescent="0.35">
      <c r="A44" t="s">
        <v>48</v>
      </c>
      <c r="B44" s="4">
        <v>610</v>
      </c>
      <c r="C44" s="4">
        <v>1060</v>
      </c>
      <c r="D44" s="4">
        <f t="shared" si="0"/>
        <v>450</v>
      </c>
      <c r="E44" s="1">
        <v>0.42</v>
      </c>
      <c r="F44" s="1" t="str">
        <f t="shared" si="1"/>
        <v>high</v>
      </c>
      <c r="G44" s="4">
        <v>0</v>
      </c>
      <c r="H44" s="6">
        <v>0</v>
      </c>
      <c r="I44" t="str">
        <f t="shared" si="2"/>
        <v>poor</v>
      </c>
    </row>
    <row r="45" spans="1:9" x14ac:dyDescent="0.35">
      <c r="A45" t="s">
        <v>49</v>
      </c>
      <c r="B45" s="4">
        <v>2132</v>
      </c>
      <c r="C45" s="4">
        <v>2169</v>
      </c>
      <c r="D45" s="4">
        <f t="shared" si="0"/>
        <v>37</v>
      </c>
      <c r="E45" s="1">
        <v>0.02</v>
      </c>
      <c r="F45" s="1" t="str">
        <f t="shared" si="1"/>
        <v>low</v>
      </c>
      <c r="G45" s="4">
        <v>0</v>
      </c>
      <c r="H45" s="6">
        <v>0</v>
      </c>
      <c r="I45" t="str">
        <f t="shared" si="2"/>
        <v>poor</v>
      </c>
    </row>
    <row r="46" spans="1:9" x14ac:dyDescent="0.35">
      <c r="A46" t="s">
        <v>50</v>
      </c>
      <c r="B46" s="4">
        <v>999</v>
      </c>
      <c r="C46" s="4">
        <v>2000</v>
      </c>
      <c r="D46" s="4">
        <f t="shared" si="0"/>
        <v>1001</v>
      </c>
      <c r="E46" s="1">
        <v>0.5</v>
      </c>
      <c r="F46" s="1" t="str">
        <f t="shared" si="1"/>
        <v>high</v>
      </c>
      <c r="G46" s="4">
        <v>0</v>
      </c>
      <c r="H46" s="6">
        <v>0</v>
      </c>
      <c r="I46" t="str">
        <f t="shared" si="2"/>
        <v>poor</v>
      </c>
    </row>
    <row r="47" spans="1:9" x14ac:dyDescent="0.35">
      <c r="A47" t="s">
        <v>51</v>
      </c>
      <c r="B47" s="4">
        <v>1190</v>
      </c>
      <c r="C47" s="4">
        <v>1785</v>
      </c>
      <c r="D47" s="4">
        <f t="shared" si="0"/>
        <v>595</v>
      </c>
      <c r="E47" s="1">
        <v>0.33</v>
      </c>
      <c r="F47" s="1" t="str">
        <f t="shared" si="1"/>
        <v>medium</v>
      </c>
      <c r="G47" s="4">
        <v>0</v>
      </c>
      <c r="H47" s="6">
        <v>0</v>
      </c>
      <c r="I47" t="str">
        <f t="shared" si="2"/>
        <v>poor</v>
      </c>
    </row>
    <row r="48" spans="1:9" x14ac:dyDescent="0.35">
      <c r="A48" t="s">
        <v>52</v>
      </c>
      <c r="B48" s="4">
        <v>671</v>
      </c>
      <c r="C48" s="4">
        <v>1316</v>
      </c>
      <c r="D48" s="4">
        <f t="shared" si="0"/>
        <v>645</v>
      </c>
      <c r="E48" s="1">
        <v>0.49</v>
      </c>
      <c r="F48" s="1" t="str">
        <f t="shared" si="1"/>
        <v>high</v>
      </c>
      <c r="G48" s="4">
        <v>0</v>
      </c>
      <c r="H48" s="6">
        <v>0</v>
      </c>
      <c r="I48" t="str">
        <f t="shared" si="2"/>
        <v>poor</v>
      </c>
    </row>
    <row r="49" spans="1:9" x14ac:dyDescent="0.35">
      <c r="A49" t="s">
        <v>53</v>
      </c>
      <c r="B49" s="4">
        <v>1200</v>
      </c>
      <c r="C49" s="4">
        <v>1950</v>
      </c>
      <c r="D49" s="4">
        <f t="shared" si="0"/>
        <v>750</v>
      </c>
      <c r="E49" s="1">
        <v>0.38</v>
      </c>
      <c r="F49" s="1" t="str">
        <f t="shared" si="1"/>
        <v>medium</v>
      </c>
      <c r="G49" s="4">
        <v>0</v>
      </c>
      <c r="H49" s="6">
        <v>0</v>
      </c>
      <c r="I49" t="str">
        <f t="shared" si="2"/>
        <v>poor</v>
      </c>
    </row>
    <row r="50" spans="1:9" x14ac:dyDescent="0.35">
      <c r="A50" t="s">
        <v>54</v>
      </c>
      <c r="B50" s="4">
        <v>199</v>
      </c>
      <c r="C50" s="4">
        <v>504</v>
      </c>
      <c r="D50" s="4">
        <f t="shared" si="0"/>
        <v>305</v>
      </c>
      <c r="E50" s="1">
        <v>0.61</v>
      </c>
      <c r="F50" s="1" t="str">
        <f t="shared" si="1"/>
        <v>high</v>
      </c>
      <c r="G50" s="4">
        <v>0</v>
      </c>
      <c r="H50" s="6">
        <v>0</v>
      </c>
      <c r="I50" t="str">
        <f t="shared" si="2"/>
        <v>poor</v>
      </c>
    </row>
    <row r="51" spans="1:9" x14ac:dyDescent="0.35">
      <c r="A51" t="s">
        <v>55</v>
      </c>
      <c r="B51" s="4">
        <v>299</v>
      </c>
      <c r="C51" s="4">
        <v>600</v>
      </c>
      <c r="D51" s="4">
        <f t="shared" si="0"/>
        <v>301</v>
      </c>
      <c r="E51" s="1">
        <v>0.5</v>
      </c>
      <c r="F51" s="1" t="str">
        <f t="shared" si="1"/>
        <v>high</v>
      </c>
      <c r="G51" s="4">
        <v>0</v>
      </c>
      <c r="H51" s="6">
        <v>0</v>
      </c>
      <c r="I51" t="str">
        <f t="shared" si="2"/>
        <v>poor</v>
      </c>
    </row>
    <row r="52" spans="1:9" x14ac:dyDescent="0.35">
      <c r="A52" t="s">
        <v>56</v>
      </c>
      <c r="B52" s="4">
        <v>1660</v>
      </c>
      <c r="C52" s="4">
        <v>1699</v>
      </c>
      <c r="D52" s="4">
        <f t="shared" si="0"/>
        <v>39</v>
      </c>
      <c r="E52" s="1">
        <v>0.02</v>
      </c>
      <c r="F52" s="1" t="str">
        <f t="shared" si="1"/>
        <v>low</v>
      </c>
      <c r="G52" s="4">
        <v>0</v>
      </c>
      <c r="H52" s="6">
        <v>0</v>
      </c>
      <c r="I52" t="str">
        <f t="shared" si="2"/>
        <v>poor</v>
      </c>
    </row>
    <row r="53" spans="1:9" x14ac:dyDescent="0.35">
      <c r="A53" t="s">
        <v>57</v>
      </c>
      <c r="B53" s="4">
        <v>299</v>
      </c>
      <c r="C53" s="4">
        <v>384</v>
      </c>
      <c r="D53" s="4">
        <f t="shared" si="0"/>
        <v>85</v>
      </c>
      <c r="E53" s="1">
        <v>0.22</v>
      </c>
      <c r="F53" s="1" t="str">
        <f t="shared" si="1"/>
        <v>medium</v>
      </c>
      <c r="G53" s="4">
        <v>0</v>
      </c>
      <c r="H53" s="6">
        <v>0</v>
      </c>
      <c r="I53" t="str">
        <f t="shared" si="2"/>
        <v>poor</v>
      </c>
    </row>
    <row r="54" spans="1:9" x14ac:dyDescent="0.35">
      <c r="A54" t="s">
        <v>58</v>
      </c>
      <c r="B54" s="4">
        <v>1459</v>
      </c>
      <c r="C54" s="4">
        <v>1499</v>
      </c>
      <c r="D54" s="4">
        <f t="shared" si="0"/>
        <v>40</v>
      </c>
      <c r="E54" s="1">
        <v>0.03</v>
      </c>
      <c r="F54" s="1" t="str">
        <f t="shared" si="1"/>
        <v>low</v>
      </c>
      <c r="G54" s="4">
        <v>0</v>
      </c>
      <c r="H54" s="6">
        <v>0</v>
      </c>
      <c r="I54" t="str">
        <f t="shared" si="2"/>
        <v>poor</v>
      </c>
    </row>
    <row r="55" spans="1:9" x14ac:dyDescent="0.35">
      <c r="A55" t="s">
        <v>59</v>
      </c>
      <c r="B55" s="4">
        <v>799</v>
      </c>
      <c r="C55" s="4">
        <v>1343</v>
      </c>
      <c r="D55" s="4">
        <f t="shared" si="0"/>
        <v>544</v>
      </c>
      <c r="E55" s="1">
        <v>0.41</v>
      </c>
      <c r="F55" s="1" t="str">
        <f t="shared" si="1"/>
        <v>high</v>
      </c>
      <c r="G55" s="4">
        <v>0</v>
      </c>
      <c r="H55" s="6">
        <v>0</v>
      </c>
      <c r="I55" t="str">
        <f t="shared" si="2"/>
        <v>poor</v>
      </c>
    </row>
    <row r="56" spans="1:9" x14ac:dyDescent="0.35">
      <c r="A56" t="s">
        <v>60</v>
      </c>
      <c r="B56" s="4">
        <v>499</v>
      </c>
      <c r="C56" s="4">
        <v>900</v>
      </c>
      <c r="D56" s="4">
        <f t="shared" si="0"/>
        <v>401</v>
      </c>
      <c r="E56" s="1">
        <v>0.45</v>
      </c>
      <c r="F56" s="1" t="str">
        <f t="shared" si="1"/>
        <v>high</v>
      </c>
      <c r="G56" s="4">
        <v>0</v>
      </c>
      <c r="H56" s="6">
        <v>0</v>
      </c>
      <c r="I56" t="str">
        <f t="shared" si="2"/>
        <v>poor</v>
      </c>
    </row>
    <row r="57" spans="1:9" x14ac:dyDescent="0.35">
      <c r="A57" t="s">
        <v>61</v>
      </c>
      <c r="B57" s="4">
        <v>699</v>
      </c>
      <c r="C57" s="4">
        <v>1343</v>
      </c>
      <c r="D57" s="4">
        <f t="shared" si="0"/>
        <v>644</v>
      </c>
      <c r="E57" s="1">
        <v>0.48</v>
      </c>
      <c r="F57" s="1" t="str">
        <f t="shared" si="1"/>
        <v>high</v>
      </c>
      <c r="G57" s="4">
        <v>0</v>
      </c>
      <c r="H57" s="6">
        <v>0</v>
      </c>
      <c r="I57" t="str">
        <f t="shared" si="2"/>
        <v>poor</v>
      </c>
    </row>
    <row r="58" spans="1:9" x14ac:dyDescent="0.35">
      <c r="A58" t="s">
        <v>62</v>
      </c>
      <c r="B58" s="4">
        <v>799</v>
      </c>
      <c r="C58" s="4">
        <v>1567</v>
      </c>
      <c r="D58" s="4">
        <f t="shared" si="0"/>
        <v>768</v>
      </c>
      <c r="E58" s="1">
        <v>0.49</v>
      </c>
      <c r="F58" s="1" t="str">
        <f t="shared" si="1"/>
        <v>high</v>
      </c>
      <c r="G58" s="4">
        <v>0</v>
      </c>
      <c r="H58" s="6">
        <v>0</v>
      </c>
      <c r="I58" t="str">
        <f t="shared" si="2"/>
        <v>poor</v>
      </c>
    </row>
    <row r="59" spans="1:9" x14ac:dyDescent="0.35">
      <c r="A59" t="s">
        <v>63</v>
      </c>
      <c r="B59" s="4">
        <v>2799</v>
      </c>
      <c r="C59" s="4">
        <v>3810</v>
      </c>
      <c r="D59" s="4">
        <f t="shared" si="0"/>
        <v>1011</v>
      </c>
      <c r="E59" s="1">
        <v>0.27</v>
      </c>
      <c r="F59" s="1" t="str">
        <f t="shared" si="1"/>
        <v>medium</v>
      </c>
      <c r="G59" s="4">
        <v>0</v>
      </c>
      <c r="H59" s="6">
        <v>0</v>
      </c>
      <c r="I59" t="str">
        <f t="shared" si="2"/>
        <v>poor</v>
      </c>
    </row>
    <row r="60" spans="1:9" x14ac:dyDescent="0.35">
      <c r="A60" t="s">
        <v>64</v>
      </c>
      <c r="B60" s="4">
        <v>2170</v>
      </c>
      <c r="C60" s="4">
        <v>2500</v>
      </c>
      <c r="D60" s="4">
        <f t="shared" si="0"/>
        <v>330</v>
      </c>
      <c r="E60" s="1">
        <v>0.13</v>
      </c>
      <c r="F60" s="1" t="str">
        <f t="shared" si="1"/>
        <v>low</v>
      </c>
      <c r="G60" s="4">
        <v>6</v>
      </c>
      <c r="H60" s="6">
        <v>2.5</v>
      </c>
      <c r="I60" t="str">
        <f t="shared" si="2"/>
        <v>poor</v>
      </c>
    </row>
    <row r="61" spans="1:9" x14ac:dyDescent="0.35">
      <c r="A61" t="s">
        <v>65</v>
      </c>
      <c r="B61" s="4">
        <v>458</v>
      </c>
      <c r="C61" s="4">
        <v>986</v>
      </c>
      <c r="D61" s="4">
        <f t="shared" si="0"/>
        <v>528</v>
      </c>
      <c r="E61" s="1">
        <v>0.54</v>
      </c>
      <c r="F61" s="1" t="str">
        <f t="shared" si="1"/>
        <v>high</v>
      </c>
      <c r="G61" s="4">
        <v>10</v>
      </c>
      <c r="H61" s="6">
        <v>3</v>
      </c>
      <c r="I61" t="str">
        <f t="shared" si="2"/>
        <v>average</v>
      </c>
    </row>
    <row r="62" spans="1:9" x14ac:dyDescent="0.35">
      <c r="A62" t="s">
        <v>66</v>
      </c>
      <c r="B62" s="4">
        <v>2115</v>
      </c>
      <c r="C62" s="4">
        <v>4700</v>
      </c>
      <c r="D62" s="4">
        <f t="shared" si="0"/>
        <v>2585</v>
      </c>
      <c r="E62" s="1">
        <v>0.55000000000000004</v>
      </c>
      <c r="F62" s="1" t="str">
        <f t="shared" si="1"/>
        <v>high</v>
      </c>
      <c r="G62" s="4">
        <v>13</v>
      </c>
      <c r="H62" s="6">
        <v>2.1</v>
      </c>
      <c r="I62" t="str">
        <f t="shared" si="2"/>
        <v>poor</v>
      </c>
    </row>
    <row r="63" spans="1:9" x14ac:dyDescent="0.35">
      <c r="A63" t="s">
        <v>67</v>
      </c>
      <c r="B63" s="4">
        <v>445</v>
      </c>
      <c r="C63" s="4">
        <v>873</v>
      </c>
      <c r="D63" s="4">
        <f t="shared" si="0"/>
        <v>428</v>
      </c>
      <c r="E63" s="1">
        <v>0.49</v>
      </c>
      <c r="F63" s="1" t="str">
        <f t="shared" si="1"/>
        <v>high</v>
      </c>
      <c r="G63" s="4">
        <v>69</v>
      </c>
      <c r="H63" s="6">
        <v>2.8</v>
      </c>
      <c r="I63" t="str">
        <f t="shared" si="2"/>
        <v>poor</v>
      </c>
    </row>
    <row r="64" spans="1:9" x14ac:dyDescent="0.35">
      <c r="A64" t="s">
        <v>68</v>
      </c>
      <c r="B64" s="4">
        <v>325</v>
      </c>
      <c r="C64" s="4">
        <v>680</v>
      </c>
      <c r="D64" s="4">
        <f t="shared" si="0"/>
        <v>355</v>
      </c>
      <c r="E64" s="1">
        <v>0.52</v>
      </c>
      <c r="F64" s="1" t="str">
        <f t="shared" si="1"/>
        <v>high</v>
      </c>
      <c r="G64" s="4">
        <v>15</v>
      </c>
      <c r="H64" s="6">
        <v>2.7</v>
      </c>
      <c r="I64" t="str">
        <f t="shared" si="2"/>
        <v>poor</v>
      </c>
    </row>
    <row r="65" spans="1:9" x14ac:dyDescent="0.35">
      <c r="A65" t="s">
        <v>69</v>
      </c>
      <c r="B65" s="4">
        <v>1220</v>
      </c>
      <c r="C65" s="4">
        <v>1555</v>
      </c>
      <c r="D65" s="4">
        <f t="shared" si="0"/>
        <v>335</v>
      </c>
      <c r="E65" s="1">
        <v>0.22</v>
      </c>
      <c r="F65" s="1" t="str">
        <f t="shared" si="1"/>
        <v>medium</v>
      </c>
      <c r="G65" s="4">
        <v>16</v>
      </c>
      <c r="H65" s="6">
        <v>2.9</v>
      </c>
      <c r="I65" t="str">
        <f t="shared" si="2"/>
        <v>poor</v>
      </c>
    </row>
    <row r="66" spans="1:9" x14ac:dyDescent="0.35">
      <c r="A66" t="s">
        <v>70</v>
      </c>
      <c r="B66" s="4">
        <v>990</v>
      </c>
      <c r="C66" s="4">
        <v>1814</v>
      </c>
      <c r="D66" s="4">
        <f t="shared" si="0"/>
        <v>824</v>
      </c>
      <c r="E66" s="1">
        <v>0.45</v>
      </c>
      <c r="F66" s="1" t="str">
        <f t="shared" si="1"/>
        <v>high</v>
      </c>
      <c r="G66" s="4">
        <v>6</v>
      </c>
      <c r="H66" s="6">
        <v>2.2000000000000002</v>
      </c>
      <c r="I66" t="str">
        <f t="shared" si="2"/>
        <v>poor</v>
      </c>
    </row>
    <row r="67" spans="1:9" x14ac:dyDescent="0.35">
      <c r="A67" t="s">
        <v>71</v>
      </c>
      <c r="B67" s="4">
        <v>1000</v>
      </c>
      <c r="C67" s="4">
        <v>2000</v>
      </c>
      <c r="D67" s="4">
        <f t="shared" ref="D67:D110" si="3">C67 - B67</f>
        <v>1000</v>
      </c>
      <c r="E67" s="1">
        <v>0.5</v>
      </c>
      <c r="F67" s="1" t="str">
        <f t="shared" ref="F67:F110" si="4">IF(E67&gt;40%, "high", IF(E67&gt;= 20%,"medium", "low"))</f>
        <v>high</v>
      </c>
      <c r="G67" s="4">
        <v>7</v>
      </c>
      <c r="H67" s="6">
        <v>2.2999999999999998</v>
      </c>
      <c r="I67" t="str">
        <f t="shared" ref="I67:I110" si="5">IF(H67 &gt;=4.5, "excellent", IF(H67 &gt;=3, "average", "poor"))</f>
        <v>poor</v>
      </c>
    </row>
    <row r="68" spans="1:9" x14ac:dyDescent="0.35">
      <c r="A68" t="s">
        <v>72</v>
      </c>
      <c r="B68" s="4">
        <v>3750</v>
      </c>
      <c r="C68" s="4">
        <v>6143</v>
      </c>
      <c r="D68" s="4">
        <f t="shared" si="3"/>
        <v>2393</v>
      </c>
      <c r="E68" s="1">
        <v>0.39</v>
      </c>
      <c r="F68" s="1" t="str">
        <f t="shared" si="4"/>
        <v>medium</v>
      </c>
      <c r="G68" s="4">
        <v>5</v>
      </c>
      <c r="H68" s="6">
        <v>3</v>
      </c>
      <c r="I68" t="str">
        <f t="shared" si="5"/>
        <v>average</v>
      </c>
    </row>
    <row r="69" spans="1:9" x14ac:dyDescent="0.35">
      <c r="A69" t="s">
        <v>73</v>
      </c>
      <c r="B69" s="4">
        <v>382</v>
      </c>
      <c r="C69" s="4">
        <v>700</v>
      </c>
      <c r="D69" s="4">
        <f t="shared" si="3"/>
        <v>318</v>
      </c>
      <c r="E69" s="1">
        <v>0.45</v>
      </c>
      <c r="F69" s="1" t="str">
        <f t="shared" si="4"/>
        <v>high</v>
      </c>
      <c r="G69" s="4">
        <v>17</v>
      </c>
      <c r="H69" s="6">
        <v>2.6</v>
      </c>
      <c r="I69" t="str">
        <f t="shared" si="5"/>
        <v>poor</v>
      </c>
    </row>
    <row r="70" spans="1:9" x14ac:dyDescent="0.35">
      <c r="A70" t="s">
        <v>74</v>
      </c>
      <c r="B70" s="4">
        <v>2300</v>
      </c>
      <c r="C70" s="4">
        <v>3240</v>
      </c>
      <c r="D70" s="4">
        <f t="shared" si="3"/>
        <v>940</v>
      </c>
      <c r="E70" s="1">
        <v>0.28999999999999998</v>
      </c>
      <c r="F70" s="1" t="str">
        <f t="shared" si="4"/>
        <v>medium</v>
      </c>
      <c r="G70" s="4">
        <v>5</v>
      </c>
      <c r="H70" s="6">
        <v>3</v>
      </c>
      <c r="I70" t="str">
        <f t="shared" si="5"/>
        <v>average</v>
      </c>
    </row>
    <row r="71" spans="1:9" x14ac:dyDescent="0.35">
      <c r="A71" t="s">
        <v>75</v>
      </c>
      <c r="B71" s="4">
        <v>345</v>
      </c>
      <c r="C71" s="4">
        <v>602</v>
      </c>
      <c r="D71" s="4">
        <f t="shared" si="3"/>
        <v>257</v>
      </c>
      <c r="E71" s="1">
        <v>0.43</v>
      </c>
      <c r="F71" s="1" t="str">
        <f t="shared" si="4"/>
        <v>high</v>
      </c>
      <c r="G71" s="4">
        <v>6</v>
      </c>
      <c r="H71" s="6">
        <v>2.2999999999999998</v>
      </c>
      <c r="I71" t="str">
        <f t="shared" si="5"/>
        <v>poor</v>
      </c>
    </row>
    <row r="72" spans="1:9" x14ac:dyDescent="0.35">
      <c r="A72" t="s">
        <v>76</v>
      </c>
      <c r="B72" s="4">
        <v>509</v>
      </c>
      <c r="C72" s="4">
        <v>899</v>
      </c>
      <c r="D72" s="4">
        <f t="shared" si="3"/>
        <v>390</v>
      </c>
      <c r="E72" s="1">
        <v>0.43</v>
      </c>
      <c r="F72" s="1" t="str">
        <f t="shared" si="4"/>
        <v>high</v>
      </c>
      <c r="G72" s="4">
        <v>5</v>
      </c>
      <c r="H72" s="6">
        <v>3</v>
      </c>
      <c r="I72" t="str">
        <f t="shared" si="5"/>
        <v>average</v>
      </c>
    </row>
    <row r="73" spans="1:9" x14ac:dyDescent="0.35">
      <c r="A73" t="s">
        <v>77</v>
      </c>
      <c r="B73" s="4">
        <v>968</v>
      </c>
      <c r="C73" s="4">
        <v>1814</v>
      </c>
      <c r="D73" s="4">
        <f t="shared" si="3"/>
        <v>846</v>
      </c>
      <c r="E73" s="1">
        <v>0.47</v>
      </c>
      <c r="F73" s="1" t="str">
        <f t="shared" si="4"/>
        <v>high</v>
      </c>
      <c r="G73" s="4">
        <v>6</v>
      </c>
      <c r="H73" s="6">
        <v>2.2000000000000002</v>
      </c>
      <c r="I73" t="str">
        <f t="shared" si="5"/>
        <v>poor</v>
      </c>
    </row>
    <row r="74" spans="1:9" x14ac:dyDescent="0.35">
      <c r="A74" t="s">
        <v>78</v>
      </c>
      <c r="B74" s="4">
        <v>1570</v>
      </c>
      <c r="C74" s="4">
        <v>2988</v>
      </c>
      <c r="D74" s="4">
        <f t="shared" si="3"/>
        <v>1418</v>
      </c>
      <c r="E74" s="1">
        <v>0.47</v>
      </c>
      <c r="F74" s="1" t="str">
        <f t="shared" si="4"/>
        <v>high</v>
      </c>
      <c r="G74" s="4">
        <v>7</v>
      </c>
      <c r="H74" s="6">
        <v>2.1</v>
      </c>
      <c r="I74" t="str">
        <f t="shared" si="5"/>
        <v>poor</v>
      </c>
    </row>
    <row r="75" spans="1:9" x14ac:dyDescent="0.35">
      <c r="A75" t="s">
        <v>79</v>
      </c>
      <c r="B75" s="4">
        <v>790</v>
      </c>
      <c r="C75" s="4">
        <v>1485</v>
      </c>
      <c r="D75" s="4">
        <f t="shared" si="3"/>
        <v>695</v>
      </c>
      <c r="E75" s="1">
        <v>0.47</v>
      </c>
      <c r="F75" s="1" t="str">
        <f t="shared" si="4"/>
        <v>high</v>
      </c>
      <c r="G75" s="4">
        <v>0</v>
      </c>
      <c r="H75" s="6">
        <v>0</v>
      </c>
      <c r="I75" t="str">
        <f t="shared" si="5"/>
        <v>poor</v>
      </c>
    </row>
    <row r="76" spans="1:9" x14ac:dyDescent="0.35">
      <c r="A76" t="s">
        <v>80</v>
      </c>
      <c r="B76" s="4">
        <v>690</v>
      </c>
      <c r="C76" s="4">
        <v>1200</v>
      </c>
      <c r="D76" s="4">
        <f t="shared" si="3"/>
        <v>510</v>
      </c>
      <c r="E76" s="1">
        <v>0.43</v>
      </c>
      <c r="F76" s="1" t="str">
        <f t="shared" si="4"/>
        <v>high</v>
      </c>
      <c r="G76" s="4">
        <v>0</v>
      </c>
      <c r="H76" s="6">
        <v>0</v>
      </c>
      <c r="I76" t="str">
        <f t="shared" si="5"/>
        <v>poor</v>
      </c>
    </row>
    <row r="77" spans="1:9" x14ac:dyDescent="0.35">
      <c r="A77" t="s">
        <v>81</v>
      </c>
      <c r="B77" s="4">
        <v>1732</v>
      </c>
      <c r="C77" s="4">
        <v>1799</v>
      </c>
      <c r="D77" s="4">
        <f t="shared" si="3"/>
        <v>67</v>
      </c>
      <c r="E77" s="1">
        <v>0.04</v>
      </c>
      <c r="F77" s="1" t="str">
        <f t="shared" si="4"/>
        <v>low</v>
      </c>
      <c r="G77" s="4">
        <v>0</v>
      </c>
      <c r="H77" s="6">
        <v>0</v>
      </c>
      <c r="I77" t="str">
        <f t="shared" si="5"/>
        <v>poor</v>
      </c>
    </row>
    <row r="78" spans="1:9" x14ac:dyDescent="0.35">
      <c r="A78" t="s">
        <v>82</v>
      </c>
      <c r="B78" s="4">
        <v>230</v>
      </c>
      <c r="C78" s="4">
        <v>450</v>
      </c>
      <c r="D78" s="4">
        <f t="shared" si="3"/>
        <v>220</v>
      </c>
      <c r="E78" s="1">
        <v>0.49</v>
      </c>
      <c r="F78" s="1" t="str">
        <f t="shared" si="4"/>
        <v>high</v>
      </c>
      <c r="G78" s="4">
        <v>0</v>
      </c>
      <c r="H78" s="6">
        <v>0</v>
      </c>
      <c r="I78" t="str">
        <f t="shared" si="5"/>
        <v>poor</v>
      </c>
    </row>
    <row r="79" spans="1:9" x14ac:dyDescent="0.35">
      <c r="A79" t="s">
        <v>83</v>
      </c>
      <c r="B79" s="4">
        <v>1189</v>
      </c>
      <c r="C79" s="4">
        <v>2199</v>
      </c>
      <c r="D79" s="4">
        <f t="shared" si="3"/>
        <v>1010</v>
      </c>
      <c r="E79" s="1">
        <v>0.46</v>
      </c>
      <c r="F79" s="1" t="str">
        <f t="shared" si="4"/>
        <v>high</v>
      </c>
      <c r="G79" s="4">
        <v>1</v>
      </c>
      <c r="H79" s="6">
        <v>3</v>
      </c>
      <c r="I79" t="str">
        <f t="shared" si="5"/>
        <v>average</v>
      </c>
    </row>
    <row r="80" spans="1:9" x14ac:dyDescent="0.35">
      <c r="A80" t="s">
        <v>84</v>
      </c>
      <c r="B80" s="4">
        <v>979</v>
      </c>
      <c r="C80" s="4">
        <v>1920</v>
      </c>
      <c r="D80" s="4">
        <f t="shared" si="3"/>
        <v>941</v>
      </c>
      <c r="E80" s="1">
        <v>0.49</v>
      </c>
      <c r="F80" s="1" t="str">
        <f t="shared" si="4"/>
        <v>high</v>
      </c>
      <c r="G80" s="4">
        <v>1</v>
      </c>
      <c r="H80" s="6">
        <v>5</v>
      </c>
      <c r="I80" t="str">
        <f t="shared" si="5"/>
        <v>excellent</v>
      </c>
    </row>
    <row r="81" spans="1:9" x14ac:dyDescent="0.35">
      <c r="A81" t="s">
        <v>85</v>
      </c>
      <c r="B81" s="4">
        <v>1460</v>
      </c>
      <c r="C81" s="4">
        <v>2290</v>
      </c>
      <c r="D81" s="4">
        <f t="shared" si="3"/>
        <v>830</v>
      </c>
      <c r="E81" s="1">
        <v>0.36</v>
      </c>
      <c r="F81" s="1" t="str">
        <f t="shared" si="4"/>
        <v>medium</v>
      </c>
      <c r="G81" s="4">
        <v>0</v>
      </c>
      <c r="H81" s="6">
        <v>0</v>
      </c>
      <c r="I81" t="str">
        <f t="shared" si="5"/>
        <v>poor</v>
      </c>
    </row>
    <row r="82" spans="1:9" x14ac:dyDescent="0.35">
      <c r="A82" t="s">
        <v>86</v>
      </c>
      <c r="B82" s="4">
        <v>1666</v>
      </c>
      <c r="C82" s="4">
        <v>1699</v>
      </c>
      <c r="D82" s="4">
        <f t="shared" si="3"/>
        <v>33</v>
      </c>
      <c r="E82" s="1">
        <v>0.02</v>
      </c>
      <c r="F82" s="1" t="str">
        <f t="shared" si="4"/>
        <v>low</v>
      </c>
      <c r="G82" s="4">
        <v>0</v>
      </c>
      <c r="H82" s="6">
        <v>0</v>
      </c>
      <c r="I82" t="str">
        <f t="shared" si="5"/>
        <v>poor</v>
      </c>
    </row>
    <row r="83" spans="1:9" x14ac:dyDescent="0.35">
      <c r="A83" t="s">
        <v>87</v>
      </c>
      <c r="B83" s="4">
        <v>330</v>
      </c>
      <c r="C83" s="4">
        <v>647</v>
      </c>
      <c r="D83" s="4">
        <f t="shared" si="3"/>
        <v>317</v>
      </c>
      <c r="E83" s="1">
        <v>0.49</v>
      </c>
      <c r="F83" s="1" t="str">
        <f t="shared" si="4"/>
        <v>high</v>
      </c>
      <c r="G83" s="4">
        <v>1</v>
      </c>
      <c r="H83" s="6">
        <v>4</v>
      </c>
      <c r="I83" t="str">
        <f t="shared" si="5"/>
        <v>average</v>
      </c>
    </row>
    <row r="84" spans="1:9" x14ac:dyDescent="0.35">
      <c r="A84" t="s">
        <v>88</v>
      </c>
      <c r="B84" s="4">
        <v>1466</v>
      </c>
      <c r="C84" s="4">
        <v>1699</v>
      </c>
      <c r="D84" s="4">
        <f t="shared" si="3"/>
        <v>233</v>
      </c>
      <c r="E84" s="1">
        <v>0.14000000000000001</v>
      </c>
      <c r="F84" s="1" t="str">
        <f t="shared" si="4"/>
        <v>low</v>
      </c>
      <c r="G84" s="4">
        <v>0</v>
      </c>
      <c r="H84" s="6">
        <v>0</v>
      </c>
      <c r="I84" t="str">
        <f t="shared" si="5"/>
        <v>poor</v>
      </c>
    </row>
    <row r="85" spans="1:9" x14ac:dyDescent="0.35">
      <c r="A85" t="s">
        <v>89</v>
      </c>
      <c r="B85" s="4">
        <v>274</v>
      </c>
      <c r="C85" s="4">
        <v>537</v>
      </c>
      <c r="D85" s="4">
        <f t="shared" si="3"/>
        <v>263</v>
      </c>
      <c r="E85" s="1">
        <v>0.49</v>
      </c>
      <c r="F85" s="1" t="str">
        <f t="shared" si="4"/>
        <v>high</v>
      </c>
      <c r="G85" s="4">
        <v>0</v>
      </c>
      <c r="H85" s="6">
        <v>0</v>
      </c>
      <c r="I85" t="str">
        <f t="shared" si="5"/>
        <v>poor</v>
      </c>
    </row>
    <row r="86" spans="1:9" x14ac:dyDescent="0.35">
      <c r="A86" t="s">
        <v>90</v>
      </c>
      <c r="B86" s="4">
        <v>799</v>
      </c>
      <c r="C86" s="4">
        <v>900</v>
      </c>
      <c r="D86" s="4">
        <f t="shared" si="3"/>
        <v>101</v>
      </c>
      <c r="E86" s="1">
        <v>0.11</v>
      </c>
      <c r="F86" s="1" t="str">
        <f t="shared" si="4"/>
        <v>low</v>
      </c>
      <c r="G86" s="4">
        <v>0</v>
      </c>
      <c r="H86" s="6">
        <v>0</v>
      </c>
      <c r="I86" t="str">
        <f t="shared" si="5"/>
        <v>poor</v>
      </c>
    </row>
    <row r="87" spans="1:9" x14ac:dyDescent="0.35">
      <c r="A87" t="s">
        <v>91</v>
      </c>
      <c r="B87" s="4">
        <v>1468</v>
      </c>
      <c r="C87" s="4">
        <v>1699</v>
      </c>
      <c r="D87" s="4">
        <f t="shared" si="3"/>
        <v>231</v>
      </c>
      <c r="E87" s="1">
        <v>0.14000000000000001</v>
      </c>
      <c r="F87" s="1" t="str">
        <f t="shared" si="4"/>
        <v>low</v>
      </c>
      <c r="G87" s="4">
        <v>0</v>
      </c>
      <c r="H87" s="6">
        <v>0</v>
      </c>
      <c r="I87" t="str">
        <f t="shared" si="5"/>
        <v>poor</v>
      </c>
    </row>
    <row r="88" spans="1:9" x14ac:dyDescent="0.35">
      <c r="A88" t="s">
        <v>92</v>
      </c>
      <c r="B88" s="4">
        <v>630</v>
      </c>
      <c r="C88" s="4">
        <v>1100</v>
      </c>
      <c r="D88" s="4">
        <f t="shared" si="3"/>
        <v>470</v>
      </c>
      <c r="E88" s="1">
        <v>0.43</v>
      </c>
      <c r="F88" s="1" t="str">
        <f t="shared" si="4"/>
        <v>high</v>
      </c>
      <c r="G88" s="4">
        <v>0</v>
      </c>
      <c r="H88" s="6">
        <v>0</v>
      </c>
      <c r="I88" t="str">
        <f t="shared" si="5"/>
        <v>poor</v>
      </c>
    </row>
    <row r="89" spans="1:9" x14ac:dyDescent="0.35">
      <c r="A89" t="s">
        <v>93</v>
      </c>
      <c r="B89" s="4">
        <v>850</v>
      </c>
      <c r="C89" s="4">
        <v>1700</v>
      </c>
      <c r="D89" s="4">
        <f t="shared" si="3"/>
        <v>850</v>
      </c>
      <c r="E89" s="1">
        <v>0.5</v>
      </c>
      <c r="F89" s="1" t="str">
        <f t="shared" si="4"/>
        <v>high</v>
      </c>
      <c r="G89" s="4">
        <v>0</v>
      </c>
      <c r="H89" s="6">
        <v>0</v>
      </c>
      <c r="I89" t="str">
        <f t="shared" si="5"/>
        <v>poor</v>
      </c>
    </row>
    <row r="90" spans="1:9" x14ac:dyDescent="0.35">
      <c r="A90" t="s">
        <v>94</v>
      </c>
      <c r="B90" s="4">
        <v>1300</v>
      </c>
      <c r="C90" s="4">
        <v>2500</v>
      </c>
      <c r="D90" s="4">
        <f t="shared" si="3"/>
        <v>1200</v>
      </c>
      <c r="E90" s="1">
        <v>0.48</v>
      </c>
      <c r="F90" s="1" t="str">
        <f t="shared" si="4"/>
        <v>high</v>
      </c>
      <c r="G90" s="4">
        <v>0</v>
      </c>
      <c r="H90" s="6">
        <v>0</v>
      </c>
      <c r="I90" t="str">
        <f t="shared" si="5"/>
        <v>poor</v>
      </c>
    </row>
    <row r="91" spans="1:9" x14ac:dyDescent="0.35">
      <c r="A91" t="s">
        <v>95</v>
      </c>
      <c r="B91" s="4">
        <v>105</v>
      </c>
      <c r="C91" s="4">
        <v>200</v>
      </c>
      <c r="D91" s="4">
        <f t="shared" si="3"/>
        <v>95</v>
      </c>
      <c r="E91" s="1">
        <v>0.48</v>
      </c>
      <c r="F91" s="1" t="str">
        <f t="shared" si="4"/>
        <v>high</v>
      </c>
      <c r="G91" s="4">
        <v>0</v>
      </c>
      <c r="H91" s="6">
        <v>0</v>
      </c>
      <c r="I91" t="str">
        <f t="shared" si="5"/>
        <v>poor</v>
      </c>
    </row>
    <row r="92" spans="1:9" x14ac:dyDescent="0.35">
      <c r="A92" t="s">
        <v>96</v>
      </c>
      <c r="B92" s="4">
        <v>899</v>
      </c>
      <c r="C92" s="4">
        <v>1699</v>
      </c>
      <c r="D92" s="4">
        <f t="shared" si="3"/>
        <v>800</v>
      </c>
      <c r="E92" s="1">
        <v>0.47</v>
      </c>
      <c r="F92" s="1" t="str">
        <f t="shared" si="4"/>
        <v>high</v>
      </c>
      <c r="G92" s="4">
        <v>0</v>
      </c>
      <c r="H92" s="6">
        <v>0</v>
      </c>
      <c r="I92" t="str">
        <f t="shared" si="5"/>
        <v>poor</v>
      </c>
    </row>
    <row r="93" spans="1:9" x14ac:dyDescent="0.35">
      <c r="A93" t="s">
        <v>97</v>
      </c>
      <c r="B93" s="4">
        <v>1200</v>
      </c>
      <c r="C93" s="4">
        <v>2400</v>
      </c>
      <c r="D93" s="4">
        <f t="shared" si="3"/>
        <v>1200</v>
      </c>
      <c r="E93" s="1">
        <v>0.5</v>
      </c>
      <c r="F93" s="1" t="str">
        <f t="shared" si="4"/>
        <v>high</v>
      </c>
      <c r="G93" s="4">
        <v>0</v>
      </c>
      <c r="H93" s="6">
        <v>0</v>
      </c>
      <c r="I93" t="str">
        <f t="shared" si="5"/>
        <v>poor</v>
      </c>
    </row>
    <row r="94" spans="1:9" x14ac:dyDescent="0.35">
      <c r="A94" t="s">
        <v>98</v>
      </c>
      <c r="B94" s="4">
        <v>1526</v>
      </c>
      <c r="C94" s="4">
        <v>1660</v>
      </c>
      <c r="D94" s="4">
        <f t="shared" si="3"/>
        <v>134</v>
      </c>
      <c r="E94" s="1">
        <v>0.08</v>
      </c>
      <c r="F94" s="1" t="str">
        <f t="shared" si="4"/>
        <v>low</v>
      </c>
      <c r="G94" s="4">
        <v>0</v>
      </c>
      <c r="H94" s="6">
        <v>0</v>
      </c>
      <c r="I94" t="str">
        <f t="shared" si="5"/>
        <v>poor</v>
      </c>
    </row>
    <row r="95" spans="1:9" x14ac:dyDescent="0.35">
      <c r="A95" t="s">
        <v>99</v>
      </c>
      <c r="B95" s="4">
        <v>1462</v>
      </c>
      <c r="C95" s="4">
        <v>1499</v>
      </c>
      <c r="D95" s="4">
        <f t="shared" si="3"/>
        <v>37</v>
      </c>
      <c r="E95" s="1">
        <v>0.02</v>
      </c>
      <c r="F95" s="1" t="str">
        <f t="shared" si="4"/>
        <v>low</v>
      </c>
      <c r="G95" s="4">
        <v>0</v>
      </c>
      <c r="H95" s="6">
        <v>0</v>
      </c>
      <c r="I95" t="str">
        <f t="shared" si="5"/>
        <v>poor</v>
      </c>
    </row>
    <row r="96" spans="1:9" x14ac:dyDescent="0.35">
      <c r="A96" t="s">
        <v>100</v>
      </c>
      <c r="B96" s="4">
        <v>248</v>
      </c>
      <c r="C96" s="4">
        <v>486</v>
      </c>
      <c r="D96" s="4">
        <f t="shared" si="3"/>
        <v>238</v>
      </c>
      <c r="E96" s="1">
        <v>0.49</v>
      </c>
      <c r="F96" s="1" t="str">
        <f t="shared" si="4"/>
        <v>high</v>
      </c>
      <c r="G96" s="4">
        <v>0</v>
      </c>
      <c r="H96" s="6">
        <v>0</v>
      </c>
      <c r="I96" t="str">
        <f t="shared" si="5"/>
        <v>poor</v>
      </c>
    </row>
    <row r="97" spans="1:9" x14ac:dyDescent="0.35">
      <c r="A97" t="s">
        <v>101</v>
      </c>
      <c r="B97" s="4">
        <v>3546</v>
      </c>
      <c r="C97" s="4">
        <v>3699</v>
      </c>
      <c r="D97" s="4">
        <f t="shared" si="3"/>
        <v>153</v>
      </c>
      <c r="E97" s="1">
        <v>0.04</v>
      </c>
      <c r="F97" s="1" t="str">
        <f t="shared" si="4"/>
        <v>low</v>
      </c>
      <c r="G97" s="4">
        <v>0</v>
      </c>
      <c r="H97" s="6">
        <v>0</v>
      </c>
      <c r="I97" t="str">
        <f t="shared" si="5"/>
        <v>poor</v>
      </c>
    </row>
    <row r="98" spans="1:9" x14ac:dyDescent="0.35">
      <c r="A98" t="s">
        <v>102</v>
      </c>
      <c r="B98" s="4">
        <v>525</v>
      </c>
      <c r="C98" s="4">
        <v>1029</v>
      </c>
      <c r="D98" s="4">
        <f t="shared" si="3"/>
        <v>504</v>
      </c>
      <c r="E98" s="1">
        <v>0.49</v>
      </c>
      <c r="F98" s="1" t="str">
        <f t="shared" si="4"/>
        <v>high</v>
      </c>
      <c r="G98" s="4">
        <v>0</v>
      </c>
      <c r="H98" s="6">
        <v>0</v>
      </c>
      <c r="I98" t="str">
        <f t="shared" si="5"/>
        <v>poor</v>
      </c>
    </row>
    <row r="99" spans="1:9" x14ac:dyDescent="0.35">
      <c r="A99" t="s">
        <v>103</v>
      </c>
      <c r="B99" s="4">
        <v>1080</v>
      </c>
      <c r="C99" s="4">
        <v>1874</v>
      </c>
      <c r="D99" s="4">
        <f t="shared" si="3"/>
        <v>794</v>
      </c>
      <c r="E99" s="1">
        <v>0.42</v>
      </c>
      <c r="F99" s="1" t="str">
        <f t="shared" si="4"/>
        <v>high</v>
      </c>
      <c r="G99" s="4">
        <v>0</v>
      </c>
      <c r="H99" s="6">
        <v>0</v>
      </c>
      <c r="I99" t="str">
        <f t="shared" si="5"/>
        <v>poor</v>
      </c>
    </row>
    <row r="100" spans="1:9" x14ac:dyDescent="0.35">
      <c r="A100" t="s">
        <v>104</v>
      </c>
      <c r="B100" s="4">
        <v>3640</v>
      </c>
      <c r="C100" s="4">
        <v>4588</v>
      </c>
      <c r="D100" s="4">
        <f t="shared" si="3"/>
        <v>948</v>
      </c>
      <c r="E100" s="1">
        <v>0.21</v>
      </c>
      <c r="F100" s="1" t="str">
        <f t="shared" si="4"/>
        <v>medium</v>
      </c>
      <c r="G100" s="4">
        <v>1</v>
      </c>
      <c r="H100" s="6">
        <v>5</v>
      </c>
      <c r="I100" t="str">
        <f t="shared" si="5"/>
        <v>excellent</v>
      </c>
    </row>
    <row r="101" spans="1:9" x14ac:dyDescent="0.35">
      <c r="A101" t="s">
        <v>105</v>
      </c>
      <c r="B101" s="4">
        <v>1420</v>
      </c>
      <c r="C101" s="4">
        <v>2420</v>
      </c>
      <c r="D101" s="4">
        <f t="shared" si="3"/>
        <v>1000</v>
      </c>
      <c r="E101" s="1">
        <v>0.41</v>
      </c>
      <c r="F101" s="1" t="str">
        <f t="shared" si="4"/>
        <v>high</v>
      </c>
      <c r="G101" s="4">
        <v>0</v>
      </c>
      <c r="H101" s="6">
        <v>0</v>
      </c>
      <c r="I101" t="str">
        <f t="shared" si="5"/>
        <v>poor</v>
      </c>
    </row>
    <row r="102" spans="1:9" x14ac:dyDescent="0.35">
      <c r="A102" t="s">
        <v>106</v>
      </c>
      <c r="B102" s="4">
        <v>1875</v>
      </c>
      <c r="C102" s="4">
        <v>1899</v>
      </c>
      <c r="D102" s="4">
        <f t="shared" si="3"/>
        <v>24</v>
      </c>
      <c r="E102" s="1">
        <v>0.01</v>
      </c>
      <c r="F102" s="1" t="str">
        <f t="shared" si="4"/>
        <v>low</v>
      </c>
      <c r="G102" s="4">
        <v>0</v>
      </c>
      <c r="H102" s="6">
        <v>0</v>
      </c>
      <c r="I102" t="str">
        <f t="shared" si="5"/>
        <v>poor</v>
      </c>
    </row>
    <row r="103" spans="1:9" x14ac:dyDescent="0.35">
      <c r="A103" t="s">
        <v>107</v>
      </c>
      <c r="B103" s="4">
        <v>198</v>
      </c>
      <c r="C103" s="4">
        <v>260</v>
      </c>
      <c r="D103" s="4">
        <f t="shared" si="3"/>
        <v>62</v>
      </c>
      <c r="E103" s="1">
        <v>0.24</v>
      </c>
      <c r="F103" s="1" t="str">
        <f t="shared" si="4"/>
        <v>medium</v>
      </c>
      <c r="G103" s="4">
        <v>0</v>
      </c>
      <c r="H103" s="6">
        <v>0</v>
      </c>
      <c r="I103" t="str">
        <f t="shared" si="5"/>
        <v>poor</v>
      </c>
    </row>
    <row r="104" spans="1:9" x14ac:dyDescent="0.35">
      <c r="A104" t="s">
        <v>108</v>
      </c>
      <c r="B104" s="4">
        <v>1150</v>
      </c>
      <c r="C104" s="4">
        <v>1737</v>
      </c>
      <c r="D104" s="4">
        <f t="shared" si="3"/>
        <v>587</v>
      </c>
      <c r="E104" s="1">
        <v>0.34</v>
      </c>
      <c r="F104" s="1" t="str">
        <f t="shared" si="4"/>
        <v>medium</v>
      </c>
      <c r="G104" s="4">
        <v>0</v>
      </c>
      <c r="H104" s="6">
        <v>0</v>
      </c>
      <c r="I104" t="str">
        <f t="shared" si="5"/>
        <v>poor</v>
      </c>
    </row>
    <row r="105" spans="1:9" x14ac:dyDescent="0.35">
      <c r="A105" t="s">
        <v>109</v>
      </c>
      <c r="B105" s="4">
        <v>1190</v>
      </c>
      <c r="C105" s="4">
        <v>1810</v>
      </c>
      <c r="D105" s="4">
        <f t="shared" si="3"/>
        <v>620</v>
      </c>
      <c r="E105" s="1">
        <v>0.34</v>
      </c>
      <c r="F105" s="1" t="str">
        <f t="shared" si="4"/>
        <v>medium</v>
      </c>
      <c r="G105" s="4">
        <v>0</v>
      </c>
      <c r="H105" s="6">
        <v>0</v>
      </c>
      <c r="I105" t="str">
        <f t="shared" si="5"/>
        <v>poor</v>
      </c>
    </row>
    <row r="106" spans="1:9" x14ac:dyDescent="0.35">
      <c r="A106" t="s">
        <v>110</v>
      </c>
      <c r="B106" s="4">
        <v>1658</v>
      </c>
      <c r="C106" s="4">
        <v>1699</v>
      </c>
      <c r="D106" s="4">
        <f t="shared" si="3"/>
        <v>41</v>
      </c>
      <c r="E106" s="1">
        <v>0.02</v>
      </c>
      <c r="F106" s="1" t="str">
        <f t="shared" si="4"/>
        <v>low</v>
      </c>
      <c r="G106" s="4">
        <v>0</v>
      </c>
      <c r="H106" s="6">
        <v>0</v>
      </c>
      <c r="I106" t="str">
        <f t="shared" si="5"/>
        <v>poor</v>
      </c>
    </row>
    <row r="107" spans="1:9" x14ac:dyDescent="0.35">
      <c r="A107" t="s">
        <v>111</v>
      </c>
      <c r="B107" s="4">
        <v>1768</v>
      </c>
      <c r="C107" s="4">
        <v>1799</v>
      </c>
      <c r="D107" s="4">
        <f t="shared" si="3"/>
        <v>31</v>
      </c>
      <c r="E107" s="1">
        <v>0.02</v>
      </c>
      <c r="F107" s="1" t="str">
        <f t="shared" si="4"/>
        <v>low</v>
      </c>
      <c r="G107" s="4">
        <v>0</v>
      </c>
      <c r="H107" s="6">
        <v>0</v>
      </c>
      <c r="I107" t="str">
        <f t="shared" si="5"/>
        <v>poor</v>
      </c>
    </row>
    <row r="108" spans="1:9" x14ac:dyDescent="0.35">
      <c r="A108" t="s">
        <v>112</v>
      </c>
      <c r="B108" s="4">
        <v>199</v>
      </c>
      <c r="C108" s="4">
        <v>553</v>
      </c>
      <c r="D108" s="4">
        <f t="shared" si="3"/>
        <v>354</v>
      </c>
      <c r="E108" s="1">
        <v>0.64</v>
      </c>
      <c r="F108" s="1" t="str">
        <f t="shared" si="4"/>
        <v>high</v>
      </c>
      <c r="G108" s="4">
        <v>0</v>
      </c>
      <c r="H108" s="6">
        <v>0</v>
      </c>
      <c r="I108" t="str">
        <f t="shared" si="5"/>
        <v>poor</v>
      </c>
    </row>
    <row r="109" spans="1:9" x14ac:dyDescent="0.35">
      <c r="A109" t="s">
        <v>113</v>
      </c>
      <c r="B109" s="4">
        <v>450</v>
      </c>
      <c r="C109" s="4">
        <v>900</v>
      </c>
      <c r="D109" s="4">
        <f t="shared" si="3"/>
        <v>450</v>
      </c>
      <c r="E109" s="1">
        <v>0.5</v>
      </c>
      <c r="F109" s="1" t="str">
        <f t="shared" si="4"/>
        <v>high</v>
      </c>
      <c r="G109" s="4">
        <v>1</v>
      </c>
      <c r="H109" s="6">
        <v>2</v>
      </c>
      <c r="I109" t="str">
        <f t="shared" si="5"/>
        <v>poor</v>
      </c>
    </row>
    <row r="110" spans="1:9" x14ac:dyDescent="0.35">
      <c r="A110" t="s">
        <v>114</v>
      </c>
      <c r="B110" s="4">
        <v>169</v>
      </c>
      <c r="C110" s="4">
        <v>320</v>
      </c>
      <c r="D110" s="4">
        <f t="shared" si="3"/>
        <v>151</v>
      </c>
      <c r="E110" s="1">
        <v>0.47</v>
      </c>
      <c r="F110" s="1" t="str">
        <f t="shared" si="4"/>
        <v>high</v>
      </c>
      <c r="G110" s="4">
        <v>0</v>
      </c>
      <c r="H110" s="6">
        <v>0</v>
      </c>
      <c r="I110" t="str">
        <f t="shared" si="5"/>
        <v>poor</v>
      </c>
    </row>
    <row r="111" spans="1:9" x14ac:dyDescent="0.35">
      <c r="A111" s="2" t="s">
        <v>118</v>
      </c>
      <c r="B111" s="4">
        <f>AVERAGE(B2:B110)</f>
        <v>1209.9082568807339</v>
      </c>
      <c r="C111" s="4">
        <f>AVERAGE(C2:C110)</f>
        <v>1842.3394495412845</v>
      </c>
      <c r="D111"/>
      <c r="E111" s="1">
        <f>AVERAGE(E2:E110)</f>
        <v>0.36385321100917423</v>
      </c>
      <c r="F111"/>
      <c r="G111" s="4">
        <f>SUM(G2:G110)</f>
        <v>723</v>
      </c>
      <c r="H111" s="6">
        <f>AVERAGE(H2:H110)</f>
        <v>2.0339449541284398</v>
      </c>
    </row>
    <row r="112" spans="1:9" x14ac:dyDescent="0.35">
      <c r="B112"/>
      <c r="C112"/>
      <c r="D112"/>
      <c r="E112"/>
      <c r="H112"/>
    </row>
    <row r="113" customFormat="1" x14ac:dyDescent="0.35"/>
    <row r="114" customFormat="1" x14ac:dyDescent="0.35"/>
    <row r="115" customFormat="1" x14ac:dyDescent="0.35"/>
    <row r="116" customFormat="1" x14ac:dyDescent="0.35"/>
  </sheetData>
  <conditionalFormatting sqref="E1:E1048576">
    <cfRule type="top10" dxfId="2" priority="2" percent="1" rank="10"/>
  </conditionalFormatting>
  <conditionalFormatting sqref="H1:H111 H113:H1048576">
    <cfRule type="top10" dxfId="1" priority="1" bottom="1" rank="10"/>
    <cfRule type="top10" dxfId="0" priority="3" rank="5"/>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646A-F56B-4108-B362-1CA0AD1D5BA5}">
  <dimension ref="A1:I62"/>
  <sheetViews>
    <sheetView workbookViewId="0">
      <selection activeCell="A3" sqref="A3:I62"/>
    </sheetView>
  </sheetViews>
  <sheetFormatPr defaultRowHeight="14.5" x14ac:dyDescent="0.35"/>
  <cols>
    <col min="1" max="1" width="69.54296875" bestFit="1" customWidth="1"/>
    <col min="2" max="2" width="14.08984375" bestFit="1" customWidth="1"/>
    <col min="3" max="3" width="10.26953125" bestFit="1" customWidth="1"/>
    <col min="4" max="4" width="22" bestFit="1" customWidth="1"/>
    <col min="5" max="5" width="10.453125" bestFit="1" customWidth="1"/>
    <col min="6" max="6" width="18.1796875" bestFit="1" customWidth="1"/>
    <col min="7" max="7" width="9" bestFit="1" customWidth="1"/>
    <col min="8" max="8" width="9.453125" bestFit="1" customWidth="1"/>
    <col min="9" max="9" width="16.36328125" bestFit="1" customWidth="1"/>
  </cols>
  <sheetData>
    <row r="1" spans="1:9" x14ac:dyDescent="0.35">
      <c r="A1" s="2" t="s">
        <v>144</v>
      </c>
    </row>
    <row r="3" spans="1:9" x14ac:dyDescent="0.35">
      <c r="A3" t="s">
        <v>0</v>
      </c>
      <c r="B3" t="s">
        <v>1</v>
      </c>
      <c r="C3" t="s">
        <v>2</v>
      </c>
      <c r="D3" t="s">
        <v>115</v>
      </c>
      <c r="E3" t="s">
        <v>3</v>
      </c>
      <c r="F3" t="s">
        <v>117</v>
      </c>
      <c r="G3" t="s">
        <v>4</v>
      </c>
      <c r="H3" t="s">
        <v>5</v>
      </c>
      <c r="I3" t="s">
        <v>116</v>
      </c>
    </row>
    <row r="4" spans="1:9" x14ac:dyDescent="0.35">
      <c r="A4" t="s">
        <v>114</v>
      </c>
      <c r="B4">
        <v>169</v>
      </c>
      <c r="C4">
        <v>320</v>
      </c>
      <c r="D4">
        <v>151</v>
      </c>
      <c r="E4">
        <v>0.47</v>
      </c>
      <c r="F4" t="s">
        <v>120</v>
      </c>
      <c r="G4">
        <v>0</v>
      </c>
      <c r="H4">
        <v>0</v>
      </c>
      <c r="I4" t="s">
        <v>128</v>
      </c>
    </row>
    <row r="5" spans="1:9" x14ac:dyDescent="0.35">
      <c r="A5" t="s">
        <v>7</v>
      </c>
      <c r="B5">
        <v>527</v>
      </c>
      <c r="C5">
        <v>999</v>
      </c>
      <c r="D5">
        <v>472</v>
      </c>
      <c r="E5">
        <v>0.47</v>
      </c>
      <c r="F5" t="s">
        <v>120</v>
      </c>
      <c r="G5">
        <v>14</v>
      </c>
      <c r="H5">
        <v>4.0999999999999996</v>
      </c>
      <c r="I5" t="s">
        <v>126</v>
      </c>
    </row>
    <row r="6" spans="1:9" x14ac:dyDescent="0.35">
      <c r="A6" t="s">
        <v>113</v>
      </c>
      <c r="B6">
        <v>450</v>
      </c>
      <c r="C6">
        <v>900</v>
      </c>
      <c r="D6">
        <v>450</v>
      </c>
      <c r="E6">
        <v>0.5</v>
      </c>
      <c r="F6" t="s">
        <v>120</v>
      </c>
      <c r="G6">
        <v>1</v>
      </c>
      <c r="H6">
        <v>2</v>
      </c>
      <c r="I6" t="s">
        <v>128</v>
      </c>
    </row>
    <row r="7" spans="1:9" x14ac:dyDescent="0.35">
      <c r="A7" t="s">
        <v>112</v>
      </c>
      <c r="B7">
        <v>199</v>
      </c>
      <c r="C7">
        <v>553</v>
      </c>
      <c r="D7">
        <v>354</v>
      </c>
      <c r="E7">
        <v>0.64</v>
      </c>
      <c r="F7" t="s">
        <v>120</v>
      </c>
      <c r="G7">
        <v>0</v>
      </c>
      <c r="H7">
        <v>0</v>
      </c>
      <c r="I7" t="s">
        <v>128</v>
      </c>
    </row>
    <row r="8" spans="1:9" x14ac:dyDescent="0.35">
      <c r="A8" t="s">
        <v>105</v>
      </c>
      <c r="B8">
        <v>1420</v>
      </c>
      <c r="C8">
        <v>2420</v>
      </c>
      <c r="D8">
        <v>1000</v>
      </c>
      <c r="E8">
        <v>0.41</v>
      </c>
      <c r="F8" t="s">
        <v>120</v>
      </c>
      <c r="G8">
        <v>0</v>
      </c>
      <c r="H8">
        <v>0</v>
      </c>
      <c r="I8" t="s">
        <v>128</v>
      </c>
    </row>
    <row r="9" spans="1:9" x14ac:dyDescent="0.35">
      <c r="A9" t="s">
        <v>103</v>
      </c>
      <c r="B9">
        <v>1080</v>
      </c>
      <c r="C9">
        <v>1874</v>
      </c>
      <c r="D9">
        <v>794</v>
      </c>
      <c r="E9">
        <v>0.42</v>
      </c>
      <c r="F9" t="s">
        <v>120</v>
      </c>
      <c r="G9">
        <v>0</v>
      </c>
      <c r="H9">
        <v>0</v>
      </c>
      <c r="I9" t="s">
        <v>128</v>
      </c>
    </row>
    <row r="10" spans="1:9" x14ac:dyDescent="0.35">
      <c r="A10" t="s">
        <v>102</v>
      </c>
      <c r="B10">
        <v>525</v>
      </c>
      <c r="C10">
        <v>1029</v>
      </c>
      <c r="D10">
        <v>504</v>
      </c>
      <c r="E10">
        <v>0.49</v>
      </c>
      <c r="F10" t="s">
        <v>120</v>
      </c>
      <c r="G10">
        <v>0</v>
      </c>
      <c r="H10">
        <v>0</v>
      </c>
      <c r="I10" t="s">
        <v>128</v>
      </c>
    </row>
    <row r="11" spans="1:9" x14ac:dyDescent="0.35">
      <c r="A11" t="s">
        <v>100</v>
      </c>
      <c r="B11">
        <v>248</v>
      </c>
      <c r="C11">
        <v>486</v>
      </c>
      <c r="D11">
        <v>238</v>
      </c>
      <c r="E11">
        <v>0.49</v>
      </c>
      <c r="F11" t="s">
        <v>120</v>
      </c>
      <c r="G11">
        <v>0</v>
      </c>
      <c r="H11">
        <v>0</v>
      </c>
      <c r="I11" t="s">
        <v>128</v>
      </c>
    </row>
    <row r="12" spans="1:9" x14ac:dyDescent="0.35">
      <c r="A12" t="s">
        <v>14</v>
      </c>
      <c r="B12">
        <v>1274</v>
      </c>
      <c r="C12">
        <v>2800</v>
      </c>
      <c r="D12">
        <v>1526</v>
      </c>
      <c r="E12">
        <v>0.55000000000000004</v>
      </c>
      <c r="F12" t="s">
        <v>120</v>
      </c>
      <c r="G12">
        <v>5</v>
      </c>
      <c r="H12">
        <v>4.8</v>
      </c>
      <c r="I12" t="s">
        <v>127</v>
      </c>
    </row>
    <row r="13" spans="1:9" x14ac:dyDescent="0.35">
      <c r="A13" t="s">
        <v>15</v>
      </c>
      <c r="B13">
        <v>1600</v>
      </c>
      <c r="C13">
        <v>2929</v>
      </c>
      <c r="D13">
        <v>1329</v>
      </c>
      <c r="E13">
        <v>0.45</v>
      </c>
      <c r="F13" t="s">
        <v>120</v>
      </c>
      <c r="G13">
        <v>5</v>
      </c>
      <c r="H13">
        <v>3.8</v>
      </c>
      <c r="I13" t="s">
        <v>126</v>
      </c>
    </row>
    <row r="14" spans="1:9" x14ac:dyDescent="0.35">
      <c r="A14" t="s">
        <v>97</v>
      </c>
      <c r="B14">
        <v>1200</v>
      </c>
      <c r="C14">
        <v>2400</v>
      </c>
      <c r="D14">
        <v>1200</v>
      </c>
      <c r="E14">
        <v>0.5</v>
      </c>
      <c r="F14" t="s">
        <v>120</v>
      </c>
      <c r="G14">
        <v>0</v>
      </c>
      <c r="H14">
        <v>0</v>
      </c>
      <c r="I14" t="s">
        <v>128</v>
      </c>
    </row>
    <row r="15" spans="1:9" x14ac:dyDescent="0.35">
      <c r="A15" t="s">
        <v>96</v>
      </c>
      <c r="B15">
        <v>899</v>
      </c>
      <c r="C15">
        <v>1699</v>
      </c>
      <c r="D15">
        <v>800</v>
      </c>
      <c r="E15">
        <v>0.47</v>
      </c>
      <c r="F15" t="s">
        <v>120</v>
      </c>
      <c r="G15">
        <v>0</v>
      </c>
      <c r="H15">
        <v>0</v>
      </c>
      <c r="I15" t="s">
        <v>128</v>
      </c>
    </row>
    <row r="16" spans="1:9" x14ac:dyDescent="0.35">
      <c r="A16" t="s">
        <v>18</v>
      </c>
      <c r="B16">
        <v>552</v>
      </c>
      <c r="C16">
        <v>1035</v>
      </c>
      <c r="D16">
        <v>483</v>
      </c>
      <c r="E16">
        <v>0.47</v>
      </c>
      <c r="F16" t="s">
        <v>120</v>
      </c>
      <c r="G16">
        <v>12</v>
      </c>
      <c r="H16">
        <v>4.8</v>
      </c>
      <c r="I16" t="s">
        <v>127</v>
      </c>
    </row>
    <row r="17" spans="1:9" x14ac:dyDescent="0.35">
      <c r="A17" t="s">
        <v>19</v>
      </c>
      <c r="B17">
        <v>501</v>
      </c>
      <c r="C17">
        <v>860</v>
      </c>
      <c r="D17">
        <v>359</v>
      </c>
      <c r="E17">
        <v>0.42</v>
      </c>
      <c r="F17" t="s">
        <v>120</v>
      </c>
      <c r="G17">
        <v>6</v>
      </c>
      <c r="H17">
        <v>4.5</v>
      </c>
      <c r="I17" t="s">
        <v>127</v>
      </c>
    </row>
    <row r="18" spans="1:9" x14ac:dyDescent="0.35">
      <c r="A18" t="s">
        <v>95</v>
      </c>
      <c r="B18">
        <v>105</v>
      </c>
      <c r="C18">
        <v>200</v>
      </c>
      <c r="D18">
        <v>95</v>
      </c>
      <c r="E18">
        <v>0.48</v>
      </c>
      <c r="F18" t="s">
        <v>120</v>
      </c>
      <c r="G18">
        <v>0</v>
      </c>
      <c r="H18">
        <v>0</v>
      </c>
      <c r="I18" t="s">
        <v>128</v>
      </c>
    </row>
    <row r="19" spans="1:9" x14ac:dyDescent="0.35">
      <c r="A19" t="s">
        <v>21</v>
      </c>
      <c r="B19">
        <v>332</v>
      </c>
      <c r="C19">
        <v>684</v>
      </c>
      <c r="D19">
        <v>352</v>
      </c>
      <c r="E19">
        <v>0.51</v>
      </c>
      <c r="F19" t="s">
        <v>120</v>
      </c>
      <c r="G19">
        <v>2</v>
      </c>
      <c r="H19">
        <v>5</v>
      </c>
      <c r="I19" t="s">
        <v>127</v>
      </c>
    </row>
    <row r="20" spans="1:9" x14ac:dyDescent="0.35">
      <c r="A20" t="s">
        <v>22</v>
      </c>
      <c r="B20">
        <v>195</v>
      </c>
      <c r="C20">
        <v>360</v>
      </c>
      <c r="D20">
        <v>165</v>
      </c>
      <c r="E20">
        <v>0.46</v>
      </c>
      <c r="F20" t="s">
        <v>120</v>
      </c>
      <c r="G20">
        <v>2</v>
      </c>
      <c r="H20">
        <v>5</v>
      </c>
      <c r="I20" t="s">
        <v>127</v>
      </c>
    </row>
    <row r="21" spans="1:9" x14ac:dyDescent="0.35">
      <c r="A21" t="s">
        <v>23</v>
      </c>
      <c r="B21">
        <v>2025</v>
      </c>
      <c r="C21">
        <v>3971</v>
      </c>
      <c r="D21">
        <v>1946</v>
      </c>
      <c r="E21">
        <v>0.49</v>
      </c>
      <c r="F21" t="s">
        <v>120</v>
      </c>
      <c r="G21">
        <v>3</v>
      </c>
      <c r="H21">
        <v>5</v>
      </c>
      <c r="I21" t="s">
        <v>127</v>
      </c>
    </row>
    <row r="22" spans="1:9" x14ac:dyDescent="0.35">
      <c r="A22" t="s">
        <v>94</v>
      </c>
      <c r="B22">
        <v>1300</v>
      </c>
      <c r="C22">
        <v>2500</v>
      </c>
      <c r="D22">
        <v>1200</v>
      </c>
      <c r="E22">
        <v>0.48</v>
      </c>
      <c r="F22" t="s">
        <v>120</v>
      </c>
      <c r="G22">
        <v>0</v>
      </c>
      <c r="H22">
        <v>0</v>
      </c>
      <c r="I22" t="s">
        <v>128</v>
      </c>
    </row>
    <row r="23" spans="1:9" x14ac:dyDescent="0.35">
      <c r="A23" t="s">
        <v>25</v>
      </c>
      <c r="B23">
        <v>998</v>
      </c>
      <c r="C23">
        <v>1966</v>
      </c>
      <c r="D23">
        <v>968</v>
      </c>
      <c r="E23">
        <v>0.49</v>
      </c>
      <c r="F23" t="s">
        <v>120</v>
      </c>
      <c r="G23">
        <v>44</v>
      </c>
      <c r="H23">
        <v>4.5999999999999996</v>
      </c>
      <c r="I23" t="s">
        <v>127</v>
      </c>
    </row>
    <row r="24" spans="1:9" x14ac:dyDescent="0.35">
      <c r="A24" t="s">
        <v>26</v>
      </c>
      <c r="B24">
        <v>38</v>
      </c>
      <c r="C24">
        <v>80</v>
      </c>
      <c r="D24">
        <v>42</v>
      </c>
      <c r="E24">
        <v>0.53</v>
      </c>
      <c r="F24" t="s">
        <v>120</v>
      </c>
      <c r="G24">
        <v>13</v>
      </c>
      <c r="H24">
        <v>3.3</v>
      </c>
      <c r="I24" t="s">
        <v>126</v>
      </c>
    </row>
    <row r="25" spans="1:9" x14ac:dyDescent="0.35">
      <c r="A25" t="s">
        <v>27</v>
      </c>
      <c r="B25">
        <v>1860</v>
      </c>
      <c r="C25">
        <v>3220</v>
      </c>
      <c r="D25">
        <v>1360</v>
      </c>
      <c r="E25">
        <v>0.42</v>
      </c>
      <c r="F25" t="s">
        <v>120</v>
      </c>
      <c r="G25">
        <v>0</v>
      </c>
      <c r="I25" t="s">
        <v>128</v>
      </c>
    </row>
    <row r="26" spans="1:9" x14ac:dyDescent="0.35">
      <c r="A26" t="s">
        <v>93</v>
      </c>
      <c r="B26">
        <v>850</v>
      </c>
      <c r="C26">
        <v>1700</v>
      </c>
      <c r="D26">
        <v>850</v>
      </c>
      <c r="E26">
        <v>0.5</v>
      </c>
      <c r="F26" t="s">
        <v>120</v>
      </c>
      <c r="G26">
        <v>0</v>
      </c>
      <c r="H26">
        <v>0</v>
      </c>
      <c r="I26" t="s">
        <v>128</v>
      </c>
    </row>
    <row r="27" spans="1:9" x14ac:dyDescent="0.35">
      <c r="A27" t="s">
        <v>92</v>
      </c>
      <c r="B27">
        <v>630</v>
      </c>
      <c r="C27">
        <v>1100</v>
      </c>
      <c r="D27">
        <v>470</v>
      </c>
      <c r="E27">
        <v>0.43</v>
      </c>
      <c r="F27" t="s">
        <v>120</v>
      </c>
      <c r="G27">
        <v>0</v>
      </c>
      <c r="H27">
        <v>0</v>
      </c>
      <c r="I27" t="s">
        <v>128</v>
      </c>
    </row>
    <row r="28" spans="1:9" x14ac:dyDescent="0.35">
      <c r="A28" t="s">
        <v>30</v>
      </c>
      <c r="B28">
        <v>2048</v>
      </c>
      <c r="C28">
        <v>4500</v>
      </c>
      <c r="D28">
        <v>2452</v>
      </c>
      <c r="E28">
        <v>0.54</v>
      </c>
      <c r="F28" t="s">
        <v>120</v>
      </c>
      <c r="G28">
        <v>7</v>
      </c>
      <c r="H28">
        <v>4.3</v>
      </c>
      <c r="I28" t="s">
        <v>126</v>
      </c>
    </row>
    <row r="29" spans="1:9" x14ac:dyDescent="0.35">
      <c r="A29" t="s">
        <v>89</v>
      </c>
      <c r="B29">
        <v>274</v>
      </c>
      <c r="C29">
        <v>537</v>
      </c>
      <c r="D29">
        <v>263</v>
      </c>
      <c r="E29">
        <v>0.49</v>
      </c>
      <c r="F29" t="s">
        <v>120</v>
      </c>
      <c r="G29">
        <v>0</v>
      </c>
      <c r="H29">
        <v>0</v>
      </c>
      <c r="I29" t="s">
        <v>128</v>
      </c>
    </row>
    <row r="30" spans="1:9" x14ac:dyDescent="0.35">
      <c r="A30" t="s">
        <v>87</v>
      </c>
      <c r="B30">
        <v>330</v>
      </c>
      <c r="C30">
        <v>647</v>
      </c>
      <c r="D30">
        <v>317</v>
      </c>
      <c r="E30">
        <v>0.49</v>
      </c>
      <c r="F30" t="s">
        <v>120</v>
      </c>
      <c r="G30">
        <v>1</v>
      </c>
      <c r="H30">
        <v>4</v>
      </c>
      <c r="I30" t="s">
        <v>126</v>
      </c>
    </row>
    <row r="31" spans="1:9" x14ac:dyDescent="0.35">
      <c r="A31" t="s">
        <v>84</v>
      </c>
      <c r="B31">
        <v>979</v>
      </c>
      <c r="C31">
        <v>1920</v>
      </c>
      <c r="D31">
        <v>941</v>
      </c>
      <c r="E31">
        <v>0.49</v>
      </c>
      <c r="F31" t="s">
        <v>120</v>
      </c>
      <c r="G31">
        <v>1</v>
      </c>
      <c r="H31">
        <v>5</v>
      </c>
      <c r="I31" t="s">
        <v>127</v>
      </c>
    </row>
    <row r="32" spans="1:9" x14ac:dyDescent="0.35">
      <c r="A32" t="s">
        <v>83</v>
      </c>
      <c r="B32">
        <v>1189</v>
      </c>
      <c r="C32">
        <v>2199</v>
      </c>
      <c r="D32">
        <v>1010</v>
      </c>
      <c r="E32">
        <v>0.46</v>
      </c>
      <c r="F32" t="s">
        <v>120</v>
      </c>
      <c r="G32">
        <v>1</v>
      </c>
      <c r="H32">
        <v>3</v>
      </c>
      <c r="I32" t="s">
        <v>126</v>
      </c>
    </row>
    <row r="33" spans="1:9" x14ac:dyDescent="0.35">
      <c r="A33" t="s">
        <v>35</v>
      </c>
      <c r="B33">
        <v>2200</v>
      </c>
      <c r="C33">
        <v>4080</v>
      </c>
      <c r="D33">
        <v>1880</v>
      </c>
      <c r="E33">
        <v>0.46</v>
      </c>
      <c r="F33" t="s">
        <v>120</v>
      </c>
      <c r="G33">
        <v>0</v>
      </c>
      <c r="H33">
        <v>0</v>
      </c>
      <c r="I33" t="s">
        <v>128</v>
      </c>
    </row>
    <row r="34" spans="1:9" x14ac:dyDescent="0.35">
      <c r="A34" t="s">
        <v>36</v>
      </c>
      <c r="B34">
        <v>185</v>
      </c>
      <c r="C34">
        <v>382</v>
      </c>
      <c r="D34">
        <v>197</v>
      </c>
      <c r="E34">
        <v>0.52</v>
      </c>
      <c r="F34" t="s">
        <v>120</v>
      </c>
      <c r="G34">
        <v>9</v>
      </c>
      <c r="H34">
        <v>4.3</v>
      </c>
      <c r="I34" t="s">
        <v>126</v>
      </c>
    </row>
    <row r="35" spans="1:9" x14ac:dyDescent="0.35">
      <c r="A35" t="s">
        <v>82</v>
      </c>
      <c r="B35">
        <v>230</v>
      </c>
      <c r="C35">
        <v>450</v>
      </c>
      <c r="D35">
        <v>220</v>
      </c>
      <c r="E35">
        <v>0.49</v>
      </c>
      <c r="F35" t="s">
        <v>120</v>
      </c>
      <c r="G35">
        <v>0</v>
      </c>
      <c r="H35">
        <v>0</v>
      </c>
      <c r="I35" t="s">
        <v>128</v>
      </c>
    </row>
    <row r="36" spans="1:9" x14ac:dyDescent="0.35">
      <c r="A36" t="s">
        <v>38</v>
      </c>
      <c r="B36">
        <v>1820</v>
      </c>
      <c r="C36">
        <v>3490</v>
      </c>
      <c r="D36">
        <v>1670</v>
      </c>
      <c r="E36">
        <v>0.48</v>
      </c>
      <c r="F36" t="s">
        <v>120</v>
      </c>
      <c r="G36">
        <v>9</v>
      </c>
      <c r="H36">
        <v>4.3</v>
      </c>
      <c r="I36" t="s">
        <v>126</v>
      </c>
    </row>
    <row r="37" spans="1:9" x14ac:dyDescent="0.35">
      <c r="A37" t="s">
        <v>80</v>
      </c>
      <c r="B37">
        <v>690</v>
      </c>
      <c r="C37">
        <v>1200</v>
      </c>
      <c r="D37">
        <v>510</v>
      </c>
      <c r="E37">
        <v>0.43</v>
      </c>
      <c r="F37" t="s">
        <v>120</v>
      </c>
      <c r="G37">
        <v>0</v>
      </c>
      <c r="H37">
        <v>0</v>
      </c>
      <c r="I37" t="s">
        <v>128</v>
      </c>
    </row>
    <row r="38" spans="1:9" x14ac:dyDescent="0.35">
      <c r="A38" t="s">
        <v>79</v>
      </c>
      <c r="B38">
        <v>790</v>
      </c>
      <c r="C38">
        <v>1485</v>
      </c>
      <c r="D38">
        <v>695</v>
      </c>
      <c r="E38">
        <v>0.47</v>
      </c>
      <c r="F38" t="s">
        <v>120</v>
      </c>
      <c r="G38">
        <v>0</v>
      </c>
      <c r="H38">
        <v>0</v>
      </c>
      <c r="I38" t="s">
        <v>128</v>
      </c>
    </row>
    <row r="39" spans="1:9" x14ac:dyDescent="0.35">
      <c r="A39" t="s">
        <v>78</v>
      </c>
      <c r="B39">
        <v>1570</v>
      </c>
      <c r="C39">
        <v>2988</v>
      </c>
      <c r="D39">
        <v>1418</v>
      </c>
      <c r="E39">
        <v>0.47</v>
      </c>
      <c r="F39" t="s">
        <v>120</v>
      </c>
      <c r="G39">
        <v>7</v>
      </c>
      <c r="H39">
        <v>2.1</v>
      </c>
      <c r="I39" t="s">
        <v>128</v>
      </c>
    </row>
    <row r="40" spans="1:9" x14ac:dyDescent="0.35">
      <c r="A40" t="s">
        <v>42</v>
      </c>
      <c r="B40">
        <v>171</v>
      </c>
      <c r="C40">
        <v>360</v>
      </c>
      <c r="D40">
        <v>189</v>
      </c>
      <c r="E40">
        <v>0.53</v>
      </c>
      <c r="F40" t="s">
        <v>120</v>
      </c>
      <c r="G40">
        <v>2</v>
      </c>
      <c r="H40">
        <v>5</v>
      </c>
      <c r="I40" t="s">
        <v>127</v>
      </c>
    </row>
    <row r="41" spans="1:9" x14ac:dyDescent="0.35">
      <c r="A41" t="s">
        <v>43</v>
      </c>
      <c r="B41">
        <v>389</v>
      </c>
      <c r="C41">
        <v>656</v>
      </c>
      <c r="D41">
        <v>267</v>
      </c>
      <c r="E41">
        <v>0.41</v>
      </c>
      <c r="F41" t="s">
        <v>120</v>
      </c>
      <c r="G41">
        <v>36</v>
      </c>
      <c r="H41">
        <v>4.3</v>
      </c>
      <c r="I41" t="s">
        <v>126</v>
      </c>
    </row>
    <row r="42" spans="1:9" x14ac:dyDescent="0.35">
      <c r="A42" t="s">
        <v>77</v>
      </c>
      <c r="B42">
        <v>968</v>
      </c>
      <c r="C42">
        <v>1814</v>
      </c>
      <c r="D42">
        <v>846</v>
      </c>
      <c r="E42">
        <v>0.47</v>
      </c>
      <c r="F42" t="s">
        <v>120</v>
      </c>
      <c r="G42">
        <v>6</v>
      </c>
      <c r="H42">
        <v>2.2000000000000002</v>
      </c>
      <c r="I42" t="s">
        <v>128</v>
      </c>
    </row>
    <row r="43" spans="1:9" x14ac:dyDescent="0.35">
      <c r="A43" t="s">
        <v>76</v>
      </c>
      <c r="B43">
        <v>509</v>
      </c>
      <c r="C43">
        <v>899</v>
      </c>
      <c r="D43">
        <v>390</v>
      </c>
      <c r="E43">
        <v>0.43</v>
      </c>
      <c r="F43" t="s">
        <v>120</v>
      </c>
      <c r="G43">
        <v>5</v>
      </c>
      <c r="H43">
        <v>3</v>
      </c>
      <c r="I43" t="s">
        <v>126</v>
      </c>
    </row>
    <row r="44" spans="1:9" x14ac:dyDescent="0.35">
      <c r="A44" t="s">
        <v>46</v>
      </c>
      <c r="B44">
        <v>475</v>
      </c>
      <c r="C44">
        <v>931</v>
      </c>
      <c r="D44">
        <v>456</v>
      </c>
      <c r="E44">
        <v>0.49</v>
      </c>
      <c r="F44" t="s">
        <v>120</v>
      </c>
      <c r="G44">
        <v>0</v>
      </c>
      <c r="H44">
        <v>0</v>
      </c>
      <c r="I44" t="s">
        <v>128</v>
      </c>
    </row>
    <row r="45" spans="1:9" x14ac:dyDescent="0.35">
      <c r="A45" t="s">
        <v>47</v>
      </c>
      <c r="B45">
        <v>238</v>
      </c>
      <c r="C45">
        <v>476</v>
      </c>
      <c r="D45">
        <v>238</v>
      </c>
      <c r="E45">
        <v>0.5</v>
      </c>
      <c r="F45" t="s">
        <v>120</v>
      </c>
      <c r="G45">
        <v>0</v>
      </c>
      <c r="H45">
        <v>0</v>
      </c>
      <c r="I45" t="s">
        <v>128</v>
      </c>
    </row>
    <row r="46" spans="1:9" x14ac:dyDescent="0.35">
      <c r="A46" t="s">
        <v>48</v>
      </c>
      <c r="B46">
        <v>610</v>
      </c>
      <c r="C46">
        <v>1060</v>
      </c>
      <c r="D46">
        <v>450</v>
      </c>
      <c r="E46">
        <v>0.42</v>
      </c>
      <c r="F46" t="s">
        <v>120</v>
      </c>
      <c r="G46">
        <v>0</v>
      </c>
      <c r="H46">
        <v>0</v>
      </c>
      <c r="I46" t="s">
        <v>128</v>
      </c>
    </row>
    <row r="47" spans="1:9" x14ac:dyDescent="0.35">
      <c r="A47" t="s">
        <v>75</v>
      </c>
      <c r="B47">
        <v>345</v>
      </c>
      <c r="C47">
        <v>602</v>
      </c>
      <c r="D47">
        <v>257</v>
      </c>
      <c r="E47">
        <v>0.43</v>
      </c>
      <c r="F47" t="s">
        <v>120</v>
      </c>
      <c r="G47">
        <v>6</v>
      </c>
      <c r="H47">
        <v>2.2999999999999998</v>
      </c>
      <c r="I47" t="s">
        <v>128</v>
      </c>
    </row>
    <row r="48" spans="1:9" x14ac:dyDescent="0.35">
      <c r="A48" t="s">
        <v>50</v>
      </c>
      <c r="B48">
        <v>999</v>
      </c>
      <c r="C48">
        <v>2000</v>
      </c>
      <c r="D48">
        <v>1001</v>
      </c>
      <c r="E48">
        <v>0.5</v>
      </c>
      <c r="F48" t="s">
        <v>120</v>
      </c>
      <c r="G48">
        <v>0</v>
      </c>
      <c r="H48">
        <v>0</v>
      </c>
      <c r="I48" t="s">
        <v>128</v>
      </c>
    </row>
    <row r="49" spans="1:9" x14ac:dyDescent="0.35">
      <c r="A49" t="s">
        <v>73</v>
      </c>
      <c r="B49">
        <v>382</v>
      </c>
      <c r="C49">
        <v>700</v>
      </c>
      <c r="D49">
        <v>318</v>
      </c>
      <c r="E49">
        <v>0.45</v>
      </c>
      <c r="F49" t="s">
        <v>120</v>
      </c>
      <c r="G49">
        <v>17</v>
      </c>
      <c r="H49">
        <v>2.6</v>
      </c>
      <c r="I49" t="s">
        <v>128</v>
      </c>
    </row>
    <row r="50" spans="1:9" x14ac:dyDescent="0.35">
      <c r="A50" t="s">
        <v>52</v>
      </c>
      <c r="B50">
        <v>671</v>
      </c>
      <c r="C50">
        <v>1316</v>
      </c>
      <c r="D50">
        <v>645</v>
      </c>
      <c r="E50">
        <v>0.49</v>
      </c>
      <c r="F50" t="s">
        <v>120</v>
      </c>
      <c r="G50">
        <v>0</v>
      </c>
      <c r="H50">
        <v>0</v>
      </c>
      <c r="I50" t="s">
        <v>128</v>
      </c>
    </row>
    <row r="51" spans="1:9" x14ac:dyDescent="0.35">
      <c r="A51" t="s">
        <v>71</v>
      </c>
      <c r="B51">
        <v>1000</v>
      </c>
      <c r="C51">
        <v>2000</v>
      </c>
      <c r="D51">
        <v>1000</v>
      </c>
      <c r="E51">
        <v>0.5</v>
      </c>
      <c r="F51" t="s">
        <v>120</v>
      </c>
      <c r="G51">
        <v>7</v>
      </c>
      <c r="H51">
        <v>2.2999999999999998</v>
      </c>
      <c r="I51" t="s">
        <v>128</v>
      </c>
    </row>
    <row r="52" spans="1:9" x14ac:dyDescent="0.35">
      <c r="A52" t="s">
        <v>54</v>
      </c>
      <c r="B52">
        <v>199</v>
      </c>
      <c r="C52">
        <v>504</v>
      </c>
      <c r="D52">
        <v>305</v>
      </c>
      <c r="E52">
        <v>0.61</v>
      </c>
      <c r="F52" t="s">
        <v>120</v>
      </c>
      <c r="G52">
        <v>0</v>
      </c>
      <c r="H52">
        <v>0</v>
      </c>
      <c r="I52" t="s">
        <v>128</v>
      </c>
    </row>
    <row r="53" spans="1:9" x14ac:dyDescent="0.35">
      <c r="A53" t="s">
        <v>55</v>
      </c>
      <c r="B53">
        <v>299</v>
      </c>
      <c r="C53">
        <v>600</v>
      </c>
      <c r="D53">
        <v>301</v>
      </c>
      <c r="E53">
        <v>0.5</v>
      </c>
      <c r="F53" t="s">
        <v>120</v>
      </c>
      <c r="G53">
        <v>0</v>
      </c>
      <c r="H53">
        <v>0</v>
      </c>
      <c r="I53" t="s">
        <v>128</v>
      </c>
    </row>
    <row r="54" spans="1:9" x14ac:dyDescent="0.35">
      <c r="A54" t="s">
        <v>70</v>
      </c>
      <c r="B54">
        <v>990</v>
      </c>
      <c r="C54">
        <v>1814</v>
      </c>
      <c r="D54">
        <v>824</v>
      </c>
      <c r="E54">
        <v>0.45</v>
      </c>
      <c r="F54" t="s">
        <v>120</v>
      </c>
      <c r="G54">
        <v>6</v>
      </c>
      <c r="H54">
        <v>2.2000000000000002</v>
      </c>
      <c r="I54" t="s">
        <v>128</v>
      </c>
    </row>
    <row r="55" spans="1:9" x14ac:dyDescent="0.35">
      <c r="A55" t="s">
        <v>68</v>
      </c>
      <c r="B55">
        <v>325</v>
      </c>
      <c r="C55">
        <v>680</v>
      </c>
      <c r="D55">
        <v>355</v>
      </c>
      <c r="E55">
        <v>0.52</v>
      </c>
      <c r="F55" t="s">
        <v>120</v>
      </c>
      <c r="G55">
        <v>15</v>
      </c>
      <c r="H55">
        <v>2.7</v>
      </c>
      <c r="I55" t="s">
        <v>128</v>
      </c>
    </row>
    <row r="56" spans="1:9" x14ac:dyDescent="0.35">
      <c r="A56" t="s">
        <v>67</v>
      </c>
      <c r="B56">
        <v>445</v>
      </c>
      <c r="C56">
        <v>873</v>
      </c>
      <c r="D56">
        <v>428</v>
      </c>
      <c r="E56">
        <v>0.49</v>
      </c>
      <c r="F56" t="s">
        <v>120</v>
      </c>
      <c r="G56">
        <v>69</v>
      </c>
      <c r="H56">
        <v>2.8</v>
      </c>
      <c r="I56" t="s">
        <v>128</v>
      </c>
    </row>
    <row r="57" spans="1:9" x14ac:dyDescent="0.35">
      <c r="A57" t="s">
        <v>59</v>
      </c>
      <c r="B57">
        <v>799</v>
      </c>
      <c r="C57">
        <v>1343</v>
      </c>
      <c r="D57">
        <v>544</v>
      </c>
      <c r="E57">
        <v>0.41</v>
      </c>
      <c r="F57" t="s">
        <v>120</v>
      </c>
      <c r="G57">
        <v>0</v>
      </c>
      <c r="H57">
        <v>0</v>
      </c>
      <c r="I57" t="s">
        <v>128</v>
      </c>
    </row>
    <row r="58" spans="1:9" x14ac:dyDescent="0.35">
      <c r="A58" t="s">
        <v>60</v>
      </c>
      <c r="B58">
        <v>499</v>
      </c>
      <c r="C58">
        <v>900</v>
      </c>
      <c r="D58">
        <v>401</v>
      </c>
      <c r="E58">
        <v>0.45</v>
      </c>
      <c r="F58" t="s">
        <v>120</v>
      </c>
      <c r="G58">
        <v>0</v>
      </c>
      <c r="H58">
        <v>0</v>
      </c>
      <c r="I58" t="s">
        <v>128</v>
      </c>
    </row>
    <row r="59" spans="1:9" x14ac:dyDescent="0.35">
      <c r="A59" t="s">
        <v>61</v>
      </c>
      <c r="B59">
        <v>699</v>
      </c>
      <c r="C59">
        <v>1343</v>
      </c>
      <c r="D59">
        <v>644</v>
      </c>
      <c r="E59">
        <v>0.48</v>
      </c>
      <c r="F59" t="s">
        <v>120</v>
      </c>
      <c r="G59">
        <v>0</v>
      </c>
      <c r="H59">
        <v>0</v>
      </c>
      <c r="I59" t="s">
        <v>128</v>
      </c>
    </row>
    <row r="60" spans="1:9" x14ac:dyDescent="0.35">
      <c r="A60" t="s">
        <v>62</v>
      </c>
      <c r="B60">
        <v>799</v>
      </c>
      <c r="C60">
        <v>1567</v>
      </c>
      <c r="D60">
        <v>768</v>
      </c>
      <c r="E60">
        <v>0.49</v>
      </c>
      <c r="F60" t="s">
        <v>120</v>
      </c>
      <c r="G60">
        <v>0</v>
      </c>
      <c r="H60">
        <v>0</v>
      </c>
      <c r="I60" t="s">
        <v>128</v>
      </c>
    </row>
    <row r="61" spans="1:9" x14ac:dyDescent="0.35">
      <c r="A61" t="s">
        <v>66</v>
      </c>
      <c r="B61">
        <v>2115</v>
      </c>
      <c r="C61">
        <v>4700</v>
      </c>
      <c r="D61">
        <v>2585</v>
      </c>
      <c r="E61">
        <v>0.55000000000000004</v>
      </c>
      <c r="F61" t="s">
        <v>120</v>
      </c>
      <c r="G61">
        <v>13</v>
      </c>
      <c r="H61">
        <v>2.1</v>
      </c>
      <c r="I61" t="s">
        <v>128</v>
      </c>
    </row>
    <row r="62" spans="1:9" x14ac:dyDescent="0.35">
      <c r="A62" t="s">
        <v>65</v>
      </c>
      <c r="B62">
        <v>458</v>
      </c>
      <c r="C62">
        <v>986</v>
      </c>
      <c r="D62">
        <v>528</v>
      </c>
      <c r="E62">
        <v>0.54</v>
      </c>
      <c r="F62" t="s">
        <v>120</v>
      </c>
      <c r="G62">
        <v>10</v>
      </c>
      <c r="H62">
        <v>3</v>
      </c>
      <c r="I62" t="s">
        <v>126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F8F1-D58F-44BD-9FEB-7A51360AE4A5}">
  <dimension ref="O39:Q43"/>
  <sheetViews>
    <sheetView tabSelected="1" topLeftCell="A6" zoomScale="59" workbookViewId="0">
      <selection activeCell="AA29" sqref="K7:AA29"/>
    </sheetView>
  </sheetViews>
  <sheetFormatPr defaultRowHeight="14.5" x14ac:dyDescent="0.35"/>
  <cols>
    <col min="1" max="16384" width="8.7265625" style="12"/>
  </cols>
  <sheetData>
    <row r="39" spans="15:17" x14ac:dyDescent="0.35">
      <c r="O39" s="8" t="s">
        <v>119</v>
      </c>
      <c r="P39" s="15" t="s">
        <v>124</v>
      </c>
      <c r="Q39" t="s">
        <v>125</v>
      </c>
    </row>
    <row r="40" spans="15:17" x14ac:dyDescent="0.35">
      <c r="O40" s="9" t="s">
        <v>120</v>
      </c>
      <c r="P40" s="13">
        <v>1.8689655172413788</v>
      </c>
      <c r="Q40" s="1">
        <v>0.48203389830508458</v>
      </c>
    </row>
    <row r="41" spans="15:17" x14ac:dyDescent="0.35">
      <c r="O41" s="9" t="s">
        <v>121</v>
      </c>
      <c r="P41" s="13">
        <v>0.82777777777777772</v>
      </c>
      <c r="Q41" s="1">
        <v>7.2222222222222243E-2</v>
      </c>
    </row>
    <row r="42" spans="15:17" x14ac:dyDescent="0.35">
      <c r="O42" s="9" t="s">
        <v>122</v>
      </c>
      <c r="P42" s="13">
        <v>3.0750000000000006</v>
      </c>
      <c r="Q42" s="1">
        <v>0.30999999999999994</v>
      </c>
    </row>
    <row r="43" spans="15:17" x14ac:dyDescent="0.35">
      <c r="O43" s="9" t="s">
        <v>123</v>
      </c>
      <c r="P43" s="13">
        <v>2.0527777777777771</v>
      </c>
      <c r="Q43" s="1">
        <v>0.36385321100917439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av rating by discount</vt:lpstr>
      <vt:lpstr> rating vs prod</vt:lpstr>
      <vt:lpstr>RAT &amp; NUMBEROF REVIEW</vt:lpstr>
      <vt:lpstr>discount vs review</vt:lpstr>
      <vt:lpstr>rate vs review</vt:lpstr>
      <vt:lpstr>Highrateprod vs reviews</vt:lpstr>
      <vt:lpstr>Top prod vs disc</vt:lpstr>
      <vt:lpstr>Top prod vs reviews</vt:lpstr>
      <vt:lpstr>Top 5 rated prod</vt:lpstr>
      <vt:lpstr>Bottom5 rated prod</vt:lpstr>
      <vt:lpstr>disco vs rating vs review</vt:lpstr>
      <vt:lpstr>Excel_jumia</vt:lpstr>
      <vt:lpstr>Detail1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faith neno</cp:lastModifiedBy>
  <dcterms:created xsi:type="dcterms:W3CDTF">2026-03-22T17:14:47Z</dcterms:created>
  <dcterms:modified xsi:type="dcterms:W3CDTF">2026-03-27T13:36:04Z</dcterms:modified>
</cp:coreProperties>
</file>